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93" firstSheet="0" activeTab="7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Listes" sheetId="2" state="hidden" r:id="rId2"/>
    <sheet xmlns:r="http://schemas.openxmlformats.org/officeDocument/2006/relationships" name="Cadrage" sheetId="3" state="visible" r:id="rId3"/>
    <sheet xmlns:r="http://schemas.openxmlformats.org/officeDocument/2006/relationships" name="Acteurs" sheetId="4" state="visible" r:id="rId4"/>
    <sheet xmlns:r="http://schemas.openxmlformats.org/officeDocument/2006/relationships" name="Procedure_N2" sheetId="5" state="visible" r:id="rId5"/>
    <sheet xmlns:r="http://schemas.openxmlformats.org/officeDocument/2006/relationships" name="IT-JUR-03" sheetId="6" state="visible" r:id="rId6"/>
    <sheet xmlns:r="http://schemas.openxmlformats.org/officeDocument/2006/relationships" name="Documents" sheetId="7" state="visible" r:id="rId7"/>
    <sheet xmlns:r="http://schemas.openxmlformats.org/officeDocument/2006/relationships" name="Indicateurs_Risques" sheetId="8" state="visible" r:id="rId8"/>
    <sheet xmlns:r="http://schemas.openxmlformats.org/officeDocument/2006/relationships" name="Synthese_Validation" sheetId="9" state="visible" r:id="rId9"/>
  </sheets>
  <definedNames>
    <definedName name="ListeCote">Listes!$H$2:$H$5</definedName>
    <definedName name="ListeIntExt">Listes!$D$2:$D$3</definedName>
    <definedName name="ListeNature">Listes!$E$2:$E$6</definedName>
    <definedName name="ListeOuiNon">Listes!$B$2:$B$3</definedName>
    <definedName name="ListeRoles">Acteurs!$C$9:$C$38</definedName>
    <definedName name="ListeStatut">Listes!$C$2:$C$4</definedName>
    <definedName name="ListeStatutPoint">Listes!$I$2:$I$4</definedName>
    <definedName name="ListeSupport">Listes!$F$2:$F$4</definedName>
    <definedName name="ListeSymboles">Listes!$A$2:$A$9</definedName>
    <definedName name="ListeTypeDoc">Listes!$G$2:$G$4</definedName>
    <definedName name="_xlnm.Print_Titles" localSheetId="2">'Cadrage'!$1:$4</definedName>
    <definedName name="_xlnm.Print_Titles" localSheetId="3">'Acteurs'!$8:$8</definedName>
    <definedName name="_xlnm.Print_Titles" localSheetId="4">'Procedure_N2'!$8:$9</definedName>
    <definedName name="_xlnm.Print_Titles" localSheetId="5">'IT-JUR-03'!$25:$25</definedName>
    <definedName name="_xlnm.Print_Titles" localSheetId="6">'Documents'!$8:$8</definedName>
    <definedName name="_xlnm.Print_Titles" localSheetId="7">'Indicateurs_Risques'!$1:$4</definedName>
    <definedName name="_xlnm.Print_Titles" localSheetId="8">'Synthese_Validation'!$1:$4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charset val="1"/>
      <b val="1"/>
      <color rgb="FF005A70"/>
      <sz val="10"/>
    </font>
    <font>
      <name val="Arial"/>
      <charset val="1"/>
      <color rgb="FFFFFFFF"/>
      <sz val="10"/>
    </font>
    <font>
      <name val="Arial"/>
      <charset val="1"/>
      <i val="1"/>
      <color rgb="FF7F7F7F"/>
      <sz val="10"/>
    </font>
    <font>
      <name val="Arial"/>
      <charset val="1"/>
      <sz val="9"/>
    </font>
    <font>
      <name val="Arial"/>
      <charset val="1"/>
      <color rgb="FF7F7F7F"/>
      <sz val="10"/>
    </font>
    <font>
      <name val="Arial"/>
      <charset val="1"/>
      <i val="1"/>
      <color rgb="FF7F7F7F"/>
      <sz val="9"/>
    </font>
    <font>
      <name val="Arial"/>
      <charset val="1"/>
      <b val="1"/>
      <color rgb="FFFFFFFF"/>
      <sz val="9"/>
    </font>
    <font>
      <name val="Arial"/>
      <charset val="1"/>
      <i val="1"/>
      <color rgb="FF6F5091"/>
      <sz val="9"/>
    </font>
    <font>
      <name val="Arial"/>
      <charset val="1"/>
      <b val="1"/>
      <sz val="9"/>
    </font>
    <font>
      <name val="Arial"/>
      <family val="2"/>
      <b val="1"/>
      <color rgb="FFFFFFFF"/>
      <sz val="9"/>
    </font>
  </fonts>
  <fills count="10">
    <fill>
      <patternFill/>
    </fill>
    <fill>
      <patternFill patternType="gray125"/>
    </fill>
    <fill>
      <patternFill patternType="solid">
        <fgColor rgb="FF005A70"/>
        <bgColor rgb="FF1E6B34"/>
      </patternFill>
    </fill>
    <fill>
      <patternFill patternType="solid">
        <fgColor rgb="FF6F5091"/>
        <bgColor rgb="FF993366"/>
      </patternFill>
    </fill>
    <fill>
      <patternFill patternType="solid">
        <fgColor rgb="FFF1EEF4"/>
        <bgColor rgb="FFEDE3F5"/>
      </patternFill>
    </fill>
    <fill>
      <patternFill patternType="solid">
        <fgColor rgb="FFFFF6D5"/>
        <bgColor rgb="FFF1EEF4"/>
      </patternFill>
    </fill>
    <fill>
      <patternFill patternType="solid">
        <fgColor rgb="FF7F7F7F"/>
        <bgColor rgb="FF6F5091"/>
      </patternFill>
    </fill>
    <fill>
      <patternFill patternType="solid">
        <fgColor rgb="FFE7E6E6"/>
        <bgColor rgb="FFEDE3F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DE3F5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9" fillId="5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14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4" fontId="3" fillId="5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0" fillId="0" borderId="5" pivotButton="0" quotePrefix="0" xfId="0"/>
    <xf numFmtId="0" fontId="2" fillId="3" borderId="1" applyAlignment="1" pivotButton="0" quotePrefix="0" xfId="0">
      <alignment vertical="center" wrapText="1"/>
    </xf>
    <xf numFmtId="0" fontId="0" fillId="0" borderId="4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4" fillId="3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14" fontId="3" fillId="5" borderId="1" applyAlignment="1" pivotButton="0" quotePrefix="0" xfId="0">
      <alignment vertical="top" wrapText="1"/>
    </xf>
    <xf numFmtId="0" fontId="0" fillId="0" borderId="0" pivotButton="0" quotePrefix="0" xfId="0"/>
    <xf numFmtId="0" fontId="3" fillId="0" borderId="1" applyAlignment="1" pivotButton="0" quotePrefix="0" xfId="0">
      <alignment wrapText="1"/>
    </xf>
    <xf numFmtId="0" fontId="6" fillId="4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/>
  </cellStyles>
  <dxfs count="8">
    <dxf>
      <font>
        <b val="1"/>
        <color rgb="FF9C0006"/>
      </font>
      <fill>
        <patternFill>
          <bgColor rgb="FFF4B6B6"/>
        </patternFill>
      </fill>
    </dxf>
    <dxf>
      <font>
        <b val="1"/>
        <color rgb="FF1E6B34"/>
      </font>
      <fill>
        <patternFill>
          <bgColor rgb="FFCDEBD3"/>
        </patternFill>
      </fill>
    </dxf>
    <dxf>
      <fill>
        <patternFill>
          <bgColor rgb="FFCDEBD3"/>
        </patternFill>
      </fill>
    </dxf>
    <dxf>
      <fill>
        <patternFill>
          <bgColor rgb="FFFCE4B6"/>
        </patternFill>
      </fill>
    </dxf>
    <dxf>
      <fill>
        <patternFill>
          <bgColor rgb="FFF4B6B6"/>
        </patternFill>
      </fill>
    </dxf>
    <dxf>
      <font>
        <b val="1"/>
        <color rgb="FFC00000"/>
      </font>
    </dxf>
    <dxf>
      <fill>
        <patternFill>
          <bgColor rgb="FFDCEFF2"/>
        </patternFill>
      </fill>
    </dxf>
    <dxf>
      <fill>
        <patternFill>
          <bgColor rgb="FFEDE3F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E6B34"/>
      <rgbColor rgb="FF000080"/>
      <rgbColor rgb="FF808000"/>
      <rgbColor rgb="FF800080"/>
      <rgbColor rgb="FF005A70"/>
      <rgbColor rgb="FFE7E6E6"/>
      <rgbColor rgb="FF7F7F7F"/>
      <rgbColor rgb="FF9999FF"/>
      <rgbColor rgb="FF993366"/>
      <rgbColor rgb="FFFFF6D5"/>
      <rgbColor rgb="FFDCEFF2"/>
      <rgbColor rgb="FF660066"/>
      <rgbColor rgb="FFFF8080"/>
      <rgbColor rgb="FF0066CC"/>
      <rgbColor rgb="FFED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EF4"/>
      <rgbColor rgb="FFCDEBD3"/>
      <rgbColor rgb="FFFCE4B6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F5091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E40"/>
  <sheetViews>
    <sheetView showGridLines="0" topLeftCell="A7" zoomScale="110" zoomScaleNormal="110" workbookViewId="0">
      <selection activeCell="C13" sqref="C13"/>
    </sheetView>
  </sheetViews>
  <sheetFormatPr baseColWidth="10" defaultColWidth="8.7109375" defaultRowHeight="15"/>
  <cols>
    <col width="4" customWidth="1" style="63" min="1" max="1"/>
    <col width="26" customWidth="1" style="63" min="2" max="2"/>
    <col width="44" customWidth="1" style="63" min="3" max="4"/>
    <col width="38" customWidth="1" style="63" min="5" max="5"/>
  </cols>
  <sheetData>
    <row r="1" ht="24" customHeight="1" s="63">
      <c r="A1" s="55" t="inlineStr">
        <is>
          <t>FICHE DE COLLECTE DES DONNÉES — RÉDACTION QUALIGRAMME
Procédures (niveau 2) et instructions de travail (niveau 3)</t>
        </is>
      </c>
      <c r="B1" s="56" t="n"/>
      <c r="C1" s="56" t="n"/>
      <c r="D1" s="56" t="n"/>
      <c r="E1" s="45" t="n"/>
    </row>
    <row r="2" ht="24" customHeight="1" s="63">
      <c r="A2" s="48" t="n"/>
      <c r="B2" s="57" t="n"/>
      <c r="C2" s="57" t="n"/>
      <c r="D2" s="57" t="n"/>
      <c r="E2" s="49" t="n"/>
    </row>
    <row r="3"/>
    <row r="4" ht="19.5" customHeight="1" s="63">
      <c r="A4" s="58" t="inlineStr">
        <is>
          <t>1. OBJECTIF DE L'OUTIL</t>
        </is>
      </c>
      <c r="B4" s="43" t="n"/>
      <c r="C4" s="43" t="n"/>
      <c r="D4" s="43" t="n"/>
      <c r="E4" s="41" t="n"/>
    </row>
    <row r="5" ht="42" customHeight="1" s="63">
      <c r="A5" s="54" t="inlineStr">
        <is>
          <t>Collecter sur le terrain, auprès des acteurs, toutes les informations nécessaires à la rédaction graphique des procédures (« Qui fait quoi ? » — niveau 2) et des instructions de travail (« Comment réaliser l'activité ? » — niveau 3) selon le langage Qualigramme. Une fiche est renseignée par procédure étudiée ; l'onglet IT_N3 est dupliqué pour chaque instruction à rédiger.</t>
        </is>
      </c>
      <c r="B5" s="43" t="n"/>
      <c r="C5" s="43" t="n"/>
      <c r="D5" s="43" t="n"/>
      <c r="E5" s="41" t="n"/>
    </row>
    <row r="6"/>
    <row r="7" ht="19.5" customHeight="1" s="63">
      <c r="A7" s="58" t="inlineStr">
        <is>
          <t>2. STRUCTURE DU CLASSEUR</t>
        </is>
      </c>
      <c r="B7" s="43" t="n"/>
      <c r="C7" s="43" t="n"/>
      <c r="D7" s="43" t="n"/>
      <c r="E7" s="41" t="n"/>
    </row>
    <row r="8" ht="25.5" customFormat="1" customHeight="1" s="26">
      <c r="A8" s="8" t="inlineStr">
        <is>
          <t>#</t>
        </is>
      </c>
      <c r="B8" s="25" t="inlineStr">
        <is>
          <t>Onglet</t>
        </is>
      </c>
      <c r="C8" s="25" t="inlineStr">
        <is>
          <t>Contenu</t>
        </is>
      </c>
      <c r="D8" s="25" t="inlineStr">
        <is>
          <t>Moment de l'entretien</t>
        </is>
      </c>
      <c r="E8" s="25" t="inlineStr">
        <is>
          <t>Traduction dans le logigramme Qualigramme</t>
        </is>
      </c>
    </row>
    <row r="9" ht="40.15" customHeight="1" s="63">
      <c r="A9" s="27" t="inlineStr">
        <is>
          <t>1</t>
        </is>
      </c>
      <c r="B9" s="9" t="inlineStr">
        <is>
          <t>Cadrage</t>
        </is>
      </c>
      <c r="C9" s="54" t="inlineStr">
        <is>
          <t>Identification de l'entretien, personnes interviewées, objet, périmètre, déclencheur, fin, exigences, interfaces</t>
        </is>
      </c>
      <c r="D9" s="54" t="inlineStr">
        <is>
          <t>Ouverture (10-15 min)</t>
        </is>
      </c>
      <c r="E9" s="54" t="inlineStr">
        <is>
          <t>Cartouche et fiche d'identité de la procédure</t>
        </is>
      </c>
    </row>
    <row r="10" ht="40.15" customHeight="1" s="63">
      <c r="A10" s="27" t="inlineStr">
        <is>
          <t>2</t>
        </is>
      </c>
      <c r="B10" s="9" t="inlineStr">
        <is>
          <t>Acteurs</t>
        </is>
      </c>
      <c r="C10" s="54" t="inlineStr">
        <is>
          <t>Recensement des rôles (internes / externes), responsabilités, titulaires, suppléants</t>
        </is>
      </c>
      <c r="D10" s="54" t="inlineStr">
        <is>
          <t>Avant le déroulé des opérations</t>
        </is>
      </c>
      <c r="E10" s="54" t="inlineStr">
        <is>
          <t>Colonnes (couloirs) des acteurs du logigramme</t>
        </is>
      </c>
    </row>
    <row r="11" ht="40.15" customHeight="1" s="63">
      <c r="A11" s="27" t="inlineStr">
        <is>
          <t>3</t>
        </is>
      </c>
      <c r="B11" s="9" t="inlineStr">
        <is>
          <t>Procedure_N2</t>
        </is>
      </c>
      <c r="C11" s="54" t="inlineStr">
        <is>
          <t>Déroulé chronologique des opérations : qui, quoi, quand, entrées/sorties, supports, décisions, risques</t>
        </is>
      </c>
      <c r="D11" s="54" t="inlineStr">
        <is>
          <t>Cœur de l'entretien (45-60 min)</t>
        </is>
      </c>
      <c r="E11" s="54" t="inlineStr">
        <is>
          <t>Symboles, enchaînements, informations échangées, renvois</t>
        </is>
      </c>
    </row>
    <row r="12" ht="40.15" customHeight="1" s="63">
      <c r="A12" s="27" t="inlineStr">
        <is>
          <t>4</t>
        </is>
      </c>
      <c r="B12" s="9" t="inlineStr">
        <is>
          <t>IT_N3</t>
        </is>
      </c>
      <c r="C12" s="54" t="inlineStr">
        <is>
          <t>Cadrage et mode opératoire détaillé d'une opération critique (un seul rôle) : moyens, points clés, autocontrôles, actions correctives</t>
        </is>
      </c>
      <c r="D12" s="54" t="inlineStr">
        <is>
          <t>Entretien / observation au poste</t>
        </is>
      </c>
      <c r="E12" s="54" t="inlineStr">
        <is>
          <t>Instruction de travail niveau 3 (une fiche par instruction)</t>
        </is>
      </c>
    </row>
    <row r="13" ht="40.15" customHeight="1" s="63">
      <c r="A13" s="27" t="inlineStr">
        <is>
          <t>5</t>
        </is>
      </c>
      <c r="B13" s="9" t="inlineStr">
        <is>
          <t>Documents</t>
        </is>
      </c>
      <c r="C13" s="54" t="inlineStr">
        <is>
          <t>Inventaire des formulaires, enregistrements et documents de référence utilisés ou produits</t>
        </is>
      </c>
      <c r="D13" s="54" t="inlineStr">
        <is>
          <t>Pendant le déroulé + collecte des modèles</t>
        </is>
      </c>
      <c r="E13" s="54" t="inlineStr">
        <is>
          <t>Symboles « document » et liste des enregistrements</t>
        </is>
      </c>
    </row>
    <row r="14" ht="40.15" customHeight="1" s="63">
      <c r="A14" s="27" t="inlineStr">
        <is>
          <t>6</t>
        </is>
      </c>
      <c r="B14" s="9" t="inlineStr">
        <is>
          <t>Indicateurs_Risques</t>
        </is>
      </c>
      <c r="C14" s="54" t="inlineStr">
        <is>
          <t>Indicateurs de performance, risques / opportunités et mesures de maîtrise</t>
        </is>
      </c>
      <c r="D14" s="54" t="inlineStr">
        <is>
          <t>Fin d'entretien</t>
        </is>
      </c>
      <c r="E14" s="54" t="inlineStr">
        <is>
          <t>Points de contrôle, commentaires, pilotage</t>
        </is>
      </c>
    </row>
    <row r="15" ht="40.15" customHeight="1" s="63">
      <c r="A15" s="27" t="inlineStr">
        <is>
          <t>7</t>
        </is>
      </c>
      <c r="B15" s="9" t="inlineStr">
        <is>
          <t>Synthese_Validation</t>
        </is>
      </c>
      <c r="C15" s="54" t="inlineStr">
        <is>
          <t>Contrôle automatique de complétude, points ouverts, validation par les interviewés</t>
        </is>
      </c>
      <c r="D15" s="54" t="inlineStr">
        <is>
          <t>Clôture et validation</t>
        </is>
      </c>
      <c r="E15" s="54" t="inlineStr">
        <is>
          <t>Conditions préalables à la rédaction</t>
        </is>
      </c>
    </row>
    <row r="16" ht="40.15" customHeight="1" s="63">
      <c r="A16" s="28" t="inlineStr">
        <is>
          <t>EX</t>
        </is>
      </c>
      <c r="B16" s="29" t="inlineStr">
        <is>
          <t>EX_Acteurs / EX_Procedure / EX_IT</t>
        </is>
      </c>
      <c r="C16" s="30" t="inlineStr">
        <is>
          <t>Exemple renseigné : cas « Gestion des sinistres »</t>
        </is>
      </c>
      <c r="D16" s="30" t="inlineStr">
        <is>
          <t>Formation des enquêteurs</t>
        </is>
      </c>
      <c r="E16" s="30" t="inlineStr">
        <is>
          <t>Illustration du niveau de détail attendu</t>
        </is>
      </c>
    </row>
    <row r="17"/>
    <row r="18" ht="19.5" customHeight="1" s="63">
      <c r="A18" s="58" t="inlineStr">
        <is>
          <t>3. DÉROULÉ RECOMMANDÉ DE L'ENTRETIEN</t>
        </is>
      </c>
      <c r="B18" s="43" t="n"/>
      <c r="C18" s="43" t="n"/>
      <c r="D18" s="43" t="n"/>
      <c r="E18" s="41" t="n"/>
    </row>
    <row r="19" ht="30" customHeight="1" s="63">
      <c r="A19" s="50" t="inlineStr">
        <is>
          <t>1</t>
        </is>
      </c>
      <c r="B19" s="9" t="inlineStr">
        <is>
          <t>Préparer</t>
        </is>
      </c>
      <c r="C19" s="54" t="inlineStr">
        <is>
          <t>Collecter les documents existants (procédures, formulaires, organigramme, fiches de poste) ; pré-remplir Cadrage et Acteurs.</t>
        </is>
      </c>
      <c r="D19" s="43" t="n"/>
      <c r="E19" s="41" t="n"/>
    </row>
    <row r="20" ht="30" customHeight="1" s="63">
      <c r="A20" s="50" t="inlineStr">
        <is>
          <t>2</t>
        </is>
      </c>
      <c r="B20" s="9" t="inlineStr">
        <is>
          <t>Cadrer</t>
        </is>
      </c>
      <c r="C20" s="54" t="inlineStr">
        <is>
          <t>Valider avec l'interviewé l'objet, le périmètre, l'événement déclencheur et le résultat final attendu de la procédure.</t>
        </is>
      </c>
      <c r="D20" s="43" t="n"/>
      <c r="E20" s="41" t="n"/>
    </row>
    <row r="21" ht="30" customHeight="1" s="63">
      <c r="A21" s="50" t="inlineStr">
        <is>
          <t>3</t>
        </is>
      </c>
      <c r="B21" s="9" t="inlineStr">
        <is>
          <t>Recenser les rôles</t>
        </is>
      </c>
      <c r="C21" s="54" t="inlineStr">
        <is>
          <t>Lister les fonctions intervenant (et non les noms des personnes). Un rôle = une colonne du logigramme.</t>
        </is>
      </c>
      <c r="D21" s="43" t="n"/>
      <c r="E21" s="41" t="n"/>
    </row>
    <row r="22" ht="30" customHeight="1" s="63">
      <c r="A22" s="50" t="inlineStr">
        <is>
          <t>4</t>
        </is>
      </c>
      <c r="B22" s="9" t="inlineStr">
        <is>
          <t>Dérouler chronologiquement</t>
        </is>
      </c>
      <c r="C22" s="54" t="inlineStr">
        <is>
          <t>Partir de l'événement déclencheur et suivre le flux jusqu'à la fin, opération par opération, en posant pour chacune le questionnement : Qui ? Fait quoi ? Quand ? À partir de quoi ? Pour qui ? Avec quoi ? Où ? Et si… ?</t>
        </is>
      </c>
      <c r="D22" s="43" t="n"/>
      <c r="E22" s="41" t="n"/>
    </row>
    <row r="23" ht="30" customHeight="1" s="63">
      <c r="A23" s="50" t="inlineStr">
        <is>
          <t>5</t>
        </is>
      </c>
      <c r="B23" s="9" t="inlineStr">
        <is>
          <t>Identifier les décisions</t>
        </is>
      </c>
      <c r="C23" s="54" t="inlineStr">
        <is>
          <t>Formuler chaque alternative en question fermée (Oui / Non) et indiquer l'opération suivante pour chaque branche.</t>
        </is>
      </c>
      <c r="D23" s="43" t="n"/>
      <c r="E23" s="41" t="n"/>
    </row>
    <row r="24" ht="30" customHeight="1" s="63">
      <c r="A24" s="50" t="inlineStr">
        <is>
          <t>6</t>
        </is>
      </c>
      <c r="B24" s="9" t="inlineStr">
        <is>
          <t>Repérer les opérations à détailler</t>
        </is>
      </c>
      <c r="C24" s="54" t="inlineStr">
        <is>
          <t>Marquer « Oui » en colonne IT N3 pour les opérations techniques, à risque, réalisées par des nouveaux arrivants ou source de non-conformités ; les détailler dans IT_N3 (si possible par observation au poste).</t>
        </is>
      </c>
      <c r="D24" s="43" t="n"/>
      <c r="E24" s="41" t="n"/>
    </row>
    <row r="25" ht="30" customHeight="1" s="63">
      <c r="A25" s="50" t="inlineStr">
        <is>
          <t>7</t>
        </is>
      </c>
      <c r="B25" s="9" t="inlineStr">
        <is>
          <t>Collecter les preuves</t>
        </is>
      </c>
      <c r="C25" s="54" t="inlineStr">
        <is>
          <t>Récupérer un exemplaire vierge et renseigné de chaque formulaire / enregistrement cité (Documents).</t>
        </is>
      </c>
      <c r="D25" s="43" t="n"/>
      <c r="E25" s="41" t="n"/>
    </row>
    <row r="26" ht="30" customHeight="1" s="63">
      <c r="A26" s="50" t="inlineStr">
        <is>
          <t>8</t>
        </is>
      </c>
      <c r="B26" s="9" t="inlineStr">
        <is>
          <t>Reformuler et valider</t>
        </is>
      </c>
      <c r="C26" s="54" t="inlineStr">
        <is>
          <t>Relire le déroulé avec l'interviewé, lever les points ouverts (Synthese_Validation), faire valider et signer.</t>
        </is>
      </c>
      <c r="D26" s="43" t="n"/>
      <c r="E26" s="41" t="n"/>
    </row>
    <row r="27"/>
    <row r="28" ht="19.5" customHeight="1" s="63">
      <c r="A28" s="58" t="inlineStr">
        <is>
          <t>4. RÈGLES DE SAISIE (LANGAGE QUALIGRAMME)</t>
        </is>
      </c>
      <c r="B28" s="43" t="n"/>
      <c r="C28" s="43" t="n"/>
      <c r="D28" s="43" t="n"/>
      <c r="E28" s="41" t="n"/>
    </row>
    <row r="29" ht="27.75" customHeight="1" s="63">
      <c r="A29" s="11" t="inlineStr">
        <is>
          <t>•</t>
        </is>
      </c>
      <c r="B29" s="59" t="inlineStr">
        <is>
          <t>Une opération = une seule action, formulée avec un verbe d'action à l'infinitif + complément (ex. « Déclarer le sinistre à l'assureur »).</t>
        </is>
      </c>
      <c r="C29" s="43" t="n"/>
      <c r="D29" s="43" t="n"/>
      <c r="E29" s="41" t="n"/>
    </row>
    <row r="30" ht="27.75" customHeight="1" s="63">
      <c r="A30" s="11" t="inlineStr">
        <is>
          <t>•</t>
        </is>
      </c>
      <c r="B30" s="59" t="inlineStr">
        <is>
          <t>Un seul acteur responsable par opération (celui qui exécute) ; les autres intervenants sont notés en « Autres acteurs » (participent / informés).</t>
        </is>
      </c>
      <c r="C30" s="43" t="n"/>
      <c r="D30" s="43" t="n"/>
      <c r="E30" s="41" t="n"/>
    </row>
    <row r="31" ht="27.75" customHeight="1" s="63">
      <c r="A31" s="11" t="inlineStr">
        <is>
          <t>•</t>
        </is>
      </c>
      <c r="B31" s="59" t="inlineStr">
        <is>
          <t>Nommer les rôles par leur fonction (Responsable QHSE, Chauffeur…), jamais par le nom d'une personne.</t>
        </is>
      </c>
      <c r="C31" s="43" t="n"/>
      <c r="D31" s="43" t="n"/>
      <c r="E31" s="41" t="n"/>
    </row>
    <row r="32" ht="27.75" customHeight="1" s="63">
      <c r="A32" s="11" t="inlineStr">
        <is>
          <t>•</t>
        </is>
      </c>
      <c r="B32" s="59" t="inlineStr">
        <is>
          <t>Toute procédure a un événement déclencheur (Début) et au moins un résultat (Fin) ; chaque décision a deux branches renseignées.</t>
        </is>
      </c>
      <c r="C32" s="43" t="n"/>
      <c r="D32" s="43" t="n"/>
      <c r="E32" s="41" t="n"/>
    </row>
    <row r="33" ht="27.75" customHeight="1" s="63">
      <c r="A33" s="11" t="inlineStr">
        <is>
          <t>•</t>
        </is>
      </c>
      <c r="B33" s="59" t="inlineStr">
        <is>
          <t>Chaque sortie d'une opération a un client identifié ; chaque document cité est recensé dans Documents.</t>
        </is>
      </c>
      <c r="C33" s="43" t="n"/>
      <c r="D33" s="43" t="n"/>
      <c r="E33" s="41" t="n"/>
    </row>
    <row r="34" ht="27.75" customHeight="1" s="63">
      <c r="A34" s="11" t="inlineStr">
        <is>
          <t>•</t>
        </is>
      </c>
      <c r="B34" s="59" t="inlineStr">
        <is>
          <t>Noter les délais et fréquences de façon mesurable (2 h, 24 h, 3 jours ouvrés…), et non « rapidement » ou « immédiatement » sans précision.</t>
        </is>
      </c>
      <c r="C34" s="43" t="n"/>
      <c r="D34" s="43" t="n"/>
      <c r="E34" s="41" t="n"/>
    </row>
    <row r="35" ht="27.75" customHeight="1" s="63">
      <c r="A35" s="11" t="inlineStr">
        <is>
          <t>•</t>
        </is>
      </c>
      <c r="B35" s="59" t="inlineStr">
        <is>
          <t>Distinguer ce qui se fait réellement (pratique constatée) de ce qui devrait se faire : signaler les écarts en colonne « Commentaires ».</t>
        </is>
      </c>
      <c r="C35" s="43" t="n"/>
      <c r="D35" s="43" t="n"/>
      <c r="E35" s="41" t="n"/>
    </row>
    <row r="36"/>
    <row r="37" ht="19.5" customHeight="1" s="63">
      <c r="A37" s="58" t="inlineStr">
        <is>
          <t>5. LÉGENDE</t>
        </is>
      </c>
      <c r="B37" s="43" t="n"/>
      <c r="C37" s="43" t="n"/>
      <c r="D37" s="43" t="n"/>
      <c r="E37" s="41" t="n"/>
    </row>
    <row r="38" ht="15" customHeight="1" s="63">
      <c r="B38" s="60" t="n"/>
      <c r="C38" s="54" t="inlineStr">
        <is>
          <t>Cellule à renseigner pendant l'entretien (listes déroulantes lorsque la cellule en propose une)</t>
        </is>
      </c>
      <c r="D38" s="43" t="n"/>
      <c r="E38" s="41" t="n"/>
    </row>
    <row r="39" ht="15" customHeight="1" s="63">
      <c r="B39" s="12" t="n"/>
      <c r="C39" s="54" t="inlineStr">
        <is>
          <t>Libellé / question guide (ne pas modifier)</t>
        </is>
      </c>
      <c r="D39" s="43" t="n"/>
      <c r="E39" s="41" t="n"/>
    </row>
    <row r="40" ht="15" customHeight="1" s="63">
      <c r="B40" s="13" t="inlineStr">
        <is>
          <t>Calcul</t>
        </is>
      </c>
      <c r="C40" s="54" t="inlineStr">
        <is>
          <t>Cellule calculée automatiquement (formule — ne pas saisir)</t>
        </is>
      </c>
      <c r="D40" s="43" t="n"/>
      <c r="E40" s="41" t="n"/>
    </row>
  </sheetData>
  <mergeCells count="25">
    <mergeCell ref="B30:E30"/>
    <mergeCell ref="C22:E22"/>
    <mergeCell ref="C40:E40"/>
    <mergeCell ref="B33:E33"/>
    <mergeCell ref="C21:E21"/>
    <mergeCell ref="B32:E32"/>
    <mergeCell ref="B35:E35"/>
    <mergeCell ref="A7:E7"/>
    <mergeCell ref="C23:E23"/>
    <mergeCell ref="C39:E39"/>
    <mergeCell ref="A37:E37"/>
    <mergeCell ref="A18:E18"/>
    <mergeCell ref="C38:E38"/>
    <mergeCell ref="B31:E31"/>
    <mergeCell ref="C19:E19"/>
    <mergeCell ref="A5:E5"/>
    <mergeCell ref="A1:E2"/>
    <mergeCell ref="C24:E24"/>
    <mergeCell ref="A4:E4"/>
    <mergeCell ref="A28:E28"/>
    <mergeCell ref="B29:E29"/>
    <mergeCell ref="C26:E26"/>
    <mergeCell ref="B34:E34"/>
    <mergeCell ref="C20:E20"/>
    <mergeCell ref="C25:E25"/>
  </mergeCells>
  <pageMargins left="0.4" right="0.4" top="0.5" bottom="0.5" header="0.511811023622047" footer="0.5"/>
  <pageSetup orientation="portrait" paperSize="9" fitToHeight="0" horizontalDpi="300" verticalDpi="300"/>
  <headerFooter>
    <oddHeader/>
    <oddFooter>&amp;LISOPEX C&amp;P — Fiche de collecte Qualigramme&amp;RPage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zoomScaleNormal="100" workbookViewId="0">
      <selection activeCell="A1" sqref="A1"/>
    </sheetView>
  </sheetViews>
  <sheetFormatPr baseColWidth="10" defaultColWidth="8.7109375" defaultRowHeight="15"/>
  <sheetData>
    <row r="1">
      <c r="A1" s="14" t="inlineStr">
        <is>
          <t>ListeSymboles</t>
        </is>
      </c>
      <c r="B1" s="14" t="inlineStr">
        <is>
          <t>ListeOuiNon</t>
        </is>
      </c>
      <c r="C1" s="14" t="inlineStr">
        <is>
          <t>ListeStatut</t>
        </is>
      </c>
      <c r="D1" s="14" t="inlineStr">
        <is>
          <t>ListeIntExt</t>
        </is>
      </c>
      <c r="E1" s="14" t="inlineStr">
        <is>
          <t>ListeNature</t>
        </is>
      </c>
      <c r="F1" s="14" t="inlineStr">
        <is>
          <t>ListeSupport</t>
        </is>
      </c>
      <c r="G1" s="14" t="inlineStr">
        <is>
          <t>ListeTypeDoc</t>
        </is>
      </c>
      <c r="H1" s="14" t="inlineStr">
        <is>
          <t>ListeCote</t>
        </is>
      </c>
      <c r="I1" s="14" t="inlineStr">
        <is>
          <t>ListeStatutPoint</t>
        </is>
      </c>
    </row>
    <row r="2">
      <c r="A2" s="15" t="inlineStr">
        <is>
          <t>Début (événement déclencheur)</t>
        </is>
      </c>
      <c r="B2" s="15" t="inlineStr">
        <is>
          <t>Oui</t>
        </is>
      </c>
      <c r="C2" s="15" t="inlineStr">
        <is>
          <t>Validé</t>
        </is>
      </c>
      <c r="D2" s="15" t="inlineStr">
        <is>
          <t>Interne</t>
        </is>
      </c>
      <c r="E2" s="15" t="inlineStr">
        <is>
          <t>Formulaire vierge</t>
        </is>
      </c>
      <c r="F2" s="15" t="inlineStr">
        <is>
          <t>Papier</t>
        </is>
      </c>
      <c r="G2" s="15" t="inlineStr">
        <is>
          <t>Procédure (niveau 2)</t>
        </is>
      </c>
      <c r="H2" s="15" t="inlineStr">
        <is>
          <t>1</t>
        </is>
      </c>
      <c r="I2" s="15" t="inlineStr">
        <is>
          <t>Ouvert</t>
        </is>
      </c>
    </row>
    <row r="3">
      <c r="A3" s="15" t="inlineStr">
        <is>
          <t>Instruction (tâche)</t>
        </is>
      </c>
      <c r="B3" s="15" t="inlineStr">
        <is>
          <t>Non</t>
        </is>
      </c>
      <c r="C3" s="15" t="inlineStr">
        <is>
          <t>À confirmer</t>
        </is>
      </c>
      <c r="D3" s="15" t="inlineStr">
        <is>
          <t>Externe</t>
        </is>
      </c>
      <c r="E3" s="15" t="inlineStr">
        <is>
          <t>Enregistrement</t>
        </is>
      </c>
      <c r="F3" s="15" t="inlineStr">
        <is>
          <t>Électronique</t>
        </is>
      </c>
      <c r="G3" s="15" t="inlineStr">
        <is>
          <t>Instruction de travail (niveau 3)</t>
        </is>
      </c>
      <c r="H3" s="15" t="inlineStr">
        <is>
          <t>2</t>
        </is>
      </c>
      <c r="I3" s="15" t="inlineStr">
        <is>
          <t>En cours</t>
        </is>
      </c>
    </row>
    <row r="4">
      <c r="A4" s="15" t="inlineStr">
        <is>
          <t>Contrôle / Vérification</t>
        </is>
      </c>
      <c r="C4" s="15" t="inlineStr">
        <is>
          <t>À compléter</t>
        </is>
      </c>
      <c r="E4" s="15" t="inlineStr">
        <is>
          <t>Document interne de référence</t>
        </is>
      </c>
      <c r="F4" s="15" t="inlineStr">
        <is>
          <t>Papier + électronique</t>
        </is>
      </c>
      <c r="G4" s="15" t="inlineStr">
        <is>
          <t>Procédure + instruction(s)</t>
        </is>
      </c>
      <c r="H4" s="15" t="inlineStr">
        <is>
          <t>3</t>
        </is>
      </c>
      <c r="I4" s="15" t="inlineStr">
        <is>
          <t>Clos</t>
        </is>
      </c>
    </row>
    <row r="5">
      <c r="A5" s="15" t="inlineStr">
        <is>
          <t>Décision / Alternative (Ou)</t>
        </is>
      </c>
      <c r="E5" s="15" t="inlineStr">
        <is>
          <t>Document externe</t>
        </is>
      </c>
      <c r="H5" s="15" t="inlineStr">
        <is>
          <t>4</t>
        </is>
      </c>
    </row>
    <row r="6">
      <c r="A6" s="15" t="inlineStr">
        <is>
          <t>Tâches simultanées (Et)</t>
        </is>
      </c>
      <c r="E6" s="15" t="inlineStr">
        <is>
          <t>Fichier / Application</t>
        </is>
      </c>
    </row>
    <row r="7">
      <c r="A7" s="15" t="inlineStr">
        <is>
          <t>Attente / Délai</t>
        </is>
      </c>
    </row>
    <row r="8">
      <c r="A8" s="15" t="inlineStr">
        <is>
          <t>Renvoi vers une autre procédure</t>
        </is>
      </c>
    </row>
    <row r="9">
      <c r="A9" s="15" t="inlineStr">
        <is>
          <t>Fin (résultat)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5A70"/>
    <outlinePr summaryBelow="1" summaryRight="1"/>
    <pageSetUpPr fitToPage="1"/>
  </sheetPr>
  <dimension ref="A1:H43"/>
  <sheetViews>
    <sheetView showGridLines="0" topLeftCell="A35" zoomScale="113" zoomScaleNormal="113" workbookViewId="0">
      <selection activeCell="E43" sqref="E43:H43"/>
    </sheetView>
  </sheetViews>
  <sheetFormatPr baseColWidth="10" defaultColWidth="8.7109375" defaultRowHeight="15"/>
  <cols>
    <col width="4" customWidth="1" style="63" min="1" max="1"/>
    <col width="24" customWidth="1" style="63" min="2" max="2"/>
    <col width="22" customWidth="1" style="63" min="3" max="3"/>
    <col width="26" customWidth="1" style="63" min="4" max="4"/>
    <col width="22" customWidth="1" style="63" min="5" max="8"/>
  </cols>
  <sheetData>
    <row r="1" ht="18" customHeight="1" s="63">
      <c r="A1" s="44" t="inlineStr">
        <is>
          <t>[Logo de l'organisation]</t>
        </is>
      </c>
      <c r="B1" s="45" t="n"/>
      <c r="C1" s="55" t="inlineStr">
        <is>
          <t>FICHE DE COLLECTE — CADRAGE DE LA PROCÉDURE</t>
        </is>
      </c>
      <c r="D1" s="56" t="n"/>
      <c r="E1" s="56" t="n"/>
      <c r="F1" s="45" t="n"/>
      <c r="G1" s="40" t="inlineStr">
        <is>
          <t>Code : FC-QUA-01</t>
        </is>
      </c>
      <c r="H1" s="41" t="n"/>
    </row>
    <row r="2" ht="18" customHeight="1" s="63">
      <c r="A2" s="46" t="n"/>
      <c r="B2" s="47" t="n"/>
      <c r="C2" s="46" t="n"/>
      <c r="F2" s="47" t="n"/>
      <c r="G2" s="40" t="inlineStr">
        <is>
          <t>Version : 01</t>
        </is>
      </c>
      <c r="H2" s="41" t="n"/>
    </row>
    <row r="3" ht="18" customHeight="1" s="63">
      <c r="A3" s="46" t="n"/>
      <c r="B3" s="47" t="n"/>
      <c r="C3" s="46" t="n"/>
      <c r="F3" s="47" t="n"/>
      <c r="G3" s="40" t="inlineStr">
        <is>
          <t>Date : ____/____/______</t>
        </is>
      </c>
      <c r="H3" s="41" t="n"/>
    </row>
    <row r="4" ht="18" customHeight="1" s="63">
      <c r="A4" s="48" t="n"/>
      <c r="B4" s="49" t="n"/>
      <c r="C4" s="48" t="n"/>
      <c r="D4" s="57" t="n"/>
      <c r="E4" s="57" t="n"/>
      <c r="F4" s="49" t="n"/>
      <c r="G4" s="40" t="inlineStr">
        <is>
          <t>Page : ___ / ___</t>
        </is>
      </c>
      <c r="H4" s="41" t="n"/>
    </row>
    <row r="5"/>
    <row r="6" ht="18.95" customHeight="1" s="63">
      <c r="A6" s="42" t="inlineStr">
        <is>
          <t>A. IDENTIFICATION DE L'ENTRETIEN</t>
        </is>
      </c>
      <c r="B6" s="43" t="n"/>
      <c r="C6" s="43" t="n"/>
      <c r="D6" s="43" t="n"/>
      <c r="E6" s="43" t="n"/>
      <c r="F6" s="43" t="n"/>
      <c r="G6" s="43" t="n"/>
      <c r="H6" s="41" t="n"/>
    </row>
    <row r="7" ht="33.95" customHeight="1" s="63">
      <c r="A7" s="16" t="inlineStr">
        <is>
          <t>1</t>
        </is>
      </c>
      <c r="B7" s="9" t="inlineStr">
        <is>
          <t>Organisation / Société</t>
        </is>
      </c>
      <c r="C7" s="61" t="inlineStr">
        <is>
          <t>Raison sociale de l'organisation auditée</t>
        </is>
      </c>
      <c r="D7" s="41" t="n"/>
      <c r="E7" s="60" t="inlineStr">
        <is>
          <t>Société Exemple (groupe Exemple)</t>
        </is>
      </c>
      <c r="F7" s="43" t="n"/>
      <c r="G7" s="43" t="n"/>
      <c r="H7" s="41" t="n"/>
    </row>
    <row r="8" ht="33.95" customHeight="1" s="63">
      <c r="A8" s="17" t="inlineStr">
        <is>
          <t>2</t>
        </is>
      </c>
      <c r="B8" s="9" t="inlineStr">
        <is>
          <t>Direction / Site</t>
        </is>
      </c>
      <c r="C8" s="61" t="inlineStr">
        <is>
          <t>Direction, service ou site concerné</t>
        </is>
      </c>
      <c r="D8" s="41" t="n"/>
      <c r="E8" s="60" t="inlineStr">
        <is>
          <t xml:space="preserve">Direction Administrative et Juridique (DAJ), Ville Exemple </t>
        </is>
      </c>
      <c r="F8" s="43" t="n"/>
      <c r="G8" s="43" t="n"/>
      <c r="H8" s="41" t="n"/>
    </row>
    <row r="9" ht="33.95" customHeight="1" s="63">
      <c r="A9" s="17" t="inlineStr">
        <is>
          <t>3</t>
        </is>
      </c>
      <c r="B9" s="9" t="inlineStr">
        <is>
          <t>Processus de rattachement</t>
        </is>
      </c>
      <c r="C9" s="61" t="inlineStr">
        <is>
          <t>Processus de la cartographie auquel appartient la procédure</t>
        </is>
      </c>
      <c r="D9" s="41" t="n"/>
      <c r="E9" s="60" t="inlineStr">
        <is>
          <t>JUR - Juridique</t>
        </is>
      </c>
      <c r="F9" s="43" t="n"/>
      <c r="G9" s="43" t="n"/>
      <c r="H9" s="41" t="n"/>
    </row>
    <row r="10" ht="33.95" customHeight="1" s="63">
      <c r="A10" s="17" t="inlineStr">
        <is>
          <t>4</t>
        </is>
      </c>
      <c r="B10" s="9" t="inlineStr">
        <is>
          <t>Pilote du processus</t>
        </is>
      </c>
      <c r="C10" s="61" t="inlineStr">
        <is>
          <t>Fonction et nom du pilote</t>
        </is>
      </c>
      <c r="D10" s="41" t="n"/>
      <c r="E10" s="60" t="inlineStr">
        <is>
          <t>Jean Exemple - Directeur Administratif et Juridique (DAJ)</t>
        </is>
      </c>
      <c r="F10" s="43" t="n"/>
      <c r="G10" s="43" t="n"/>
      <c r="H10" s="41" t="n"/>
    </row>
    <row r="11" ht="33.95" customHeight="1" s="63">
      <c r="A11" s="17" t="inlineStr">
        <is>
          <t>5</t>
        </is>
      </c>
      <c r="B11" s="9" t="inlineStr">
        <is>
          <t>Intitulé de la procédure</t>
        </is>
      </c>
      <c r="C11" s="61" t="inlineStr">
        <is>
          <t>Verbe d'action à l'infinitif + objet (ex. « Gérer les sinistres »)</t>
        </is>
      </c>
      <c r="D11" s="41" t="n"/>
      <c r="E11" s="60" t="inlineStr">
        <is>
          <t>Gérer les contrats (rédaction, validation, signature, archivage, renouvellement)</t>
        </is>
      </c>
      <c r="F11" s="43" t="n"/>
      <c r="G11" s="43" t="n"/>
      <c r="H11" s="41" t="n"/>
    </row>
    <row r="12" ht="33.95" customHeight="1" s="63">
      <c r="A12" s="17" t="inlineStr">
        <is>
          <t>6</t>
        </is>
      </c>
      <c r="B12" s="9" t="inlineStr">
        <is>
          <t>Code envisagé</t>
        </is>
      </c>
      <c r="C12" s="61" t="inlineStr">
        <is>
          <t>Selon la règle de codification documentaire (ex. PR-QHSE-05)</t>
        </is>
      </c>
      <c r="D12" s="41" t="n"/>
      <c r="E12" s="60" t="inlineStr">
        <is>
          <t>PR-JUR-03</t>
        </is>
      </c>
      <c r="F12" s="43" t="n"/>
      <c r="G12" s="43" t="n"/>
      <c r="H12" s="41" t="n"/>
    </row>
    <row r="13" ht="33.95" customHeight="1" s="63">
      <c r="A13" s="17" t="inlineStr">
        <is>
          <t>7</t>
        </is>
      </c>
      <c r="B13" s="9" t="inlineStr">
        <is>
          <t>Type de document à rédiger</t>
        </is>
      </c>
      <c r="C13" s="61" t="inlineStr">
        <is>
          <t>Procédure N2, instruction N3, ou les deux</t>
        </is>
      </c>
      <c r="D13" s="41" t="n"/>
      <c r="E13" s="60" t="inlineStr">
        <is>
          <t>Procédure + instruction(s)</t>
        </is>
      </c>
      <c r="F13" s="43" t="n"/>
      <c r="G13" s="43" t="n"/>
      <c r="H13" s="41" t="n"/>
    </row>
    <row r="14" ht="18.95" customHeight="1" s="63">
      <c r="A14" s="17" t="inlineStr">
        <is>
          <t>8</t>
        </is>
      </c>
      <c r="B14" s="9" t="inlineStr">
        <is>
          <t>Date de l'entretien</t>
        </is>
      </c>
      <c r="C14" s="61" t="inlineStr">
        <is>
          <t>JJ/MM/AAAA</t>
        </is>
      </c>
      <c r="D14" s="41" t="n"/>
      <c r="E14" s="62" t="inlineStr">
        <is>
          <t>07/09/2026 (entretien Juridique) ; 06/10/2026 (planning de collecte) ; validation : 21/10/2026 (planning de validation)</t>
        </is>
      </c>
      <c r="F14" s="43" t="n"/>
      <c r="G14" s="43" t="n"/>
      <c r="H14" s="41" t="n"/>
    </row>
    <row r="15" ht="18.95" customHeight="1" s="63">
      <c r="A15" s="17" t="inlineStr">
        <is>
          <t>9</t>
        </is>
      </c>
      <c r="B15" s="9" t="inlineStr">
        <is>
          <t>Lieu de l'entretien</t>
        </is>
      </c>
      <c r="C15" s="61" t="inlineStr">
        <is>
          <t>Bureau, atelier, poste de travail…</t>
        </is>
      </c>
      <c r="D15" s="41" t="n"/>
      <c r="E15" s="60" t="inlineStr">
        <is>
          <t>Siège Société Exemple, Ville Exemple</t>
        </is>
      </c>
      <c r="F15" s="43" t="n"/>
      <c r="G15" s="43" t="n"/>
      <c r="H15" s="41" t="n"/>
    </row>
    <row r="16" ht="33.95" customHeight="1" s="63">
      <c r="A16" s="17" t="inlineStr">
        <is>
          <t>10</t>
        </is>
      </c>
      <c r="B16" s="9" t="inlineStr">
        <is>
          <t>Enquêteur(s) / Consultant(s)</t>
        </is>
      </c>
      <c r="C16" s="61" t="inlineStr">
        <is>
          <t>Nom(s) des personnes menant l'entretien</t>
        </is>
      </c>
      <c r="D16" s="41" t="n"/>
      <c r="E16" s="60" t="inlineStr">
        <is>
          <t>Consultant Exemple (Cabinet Exemple)</t>
        </is>
      </c>
      <c r="F16" s="43" t="n"/>
      <c r="G16" s="43" t="n"/>
      <c r="H16" s="41" t="n"/>
    </row>
    <row r="17" ht="33.95" customHeight="1" s="63">
      <c r="A17" s="17" t="inlineStr">
        <is>
          <t>11</t>
        </is>
      </c>
      <c r="B17" s="9" t="inlineStr">
        <is>
          <t>N° d'entretien / de session</t>
        </is>
      </c>
      <c r="C17" s="61" t="inlineStr">
        <is>
          <t>Si plusieurs séances pour une même procédure</t>
        </is>
      </c>
      <c r="D17" s="41" t="n"/>
      <c r="E17" s="60" t="inlineStr">
        <is>
          <t>Entretien DAJ (transcription Juridique 2)</t>
        </is>
      </c>
      <c r="F17" s="43" t="n"/>
      <c r="G17" s="43" t="n"/>
      <c r="H17" s="41" t="n"/>
    </row>
    <row r="18"/>
    <row r="19" ht="18.95" customHeight="1" s="63">
      <c r="A19" s="42" t="inlineStr">
        <is>
          <t>B. PERSONNES INTERVIEWÉES</t>
        </is>
      </c>
      <c r="B19" s="43" t="n"/>
      <c r="C19" s="43" t="n"/>
      <c r="D19" s="43" t="n"/>
      <c r="E19" s="43" t="n"/>
      <c r="F19" s="43" t="n"/>
      <c r="G19" s="43" t="n"/>
      <c r="H19" s="41" t="n"/>
    </row>
    <row r="20" ht="48.95" customHeight="1" s="63">
      <c r="A20" s="8" t="inlineStr">
        <is>
          <t>N°</t>
        </is>
      </c>
      <c r="B20" s="8" t="inlineStr">
        <is>
          <t>Nom et prénom</t>
        </is>
      </c>
      <c r="C20" s="8" t="inlineStr">
        <is>
          <t>Fonction</t>
        </is>
      </c>
      <c r="D20" s="8" t="inlineStr">
        <is>
          <t>Service / Direction</t>
        </is>
      </c>
      <c r="E20" s="8" t="inlineStr">
        <is>
          <t>Rôle dans la procédure</t>
        </is>
      </c>
      <c r="F20" s="8" t="inlineStr">
        <is>
          <t>Ancienneté au poste</t>
        </is>
      </c>
      <c r="G20" s="8" t="inlineStr">
        <is>
          <t>Téléphone / e-mail</t>
        </is>
      </c>
      <c r="H20" s="8" t="inlineStr">
        <is>
          <t>Présent (Oui/Non)</t>
        </is>
      </c>
    </row>
    <row r="21" ht="25.5" customHeight="1" s="63">
      <c r="A21" s="18" t="n">
        <v>1</v>
      </c>
      <c r="B21" s="60" t="inlineStr">
        <is>
          <t>Jean Exemple</t>
        </is>
      </c>
      <c r="C21" s="60" t="inlineStr">
        <is>
          <t>Directeur Administratif et Juridique (DAJ)</t>
        </is>
      </c>
      <c r="D21" s="60" t="inlineStr">
        <is>
          <t>Juridique / DAJ</t>
        </is>
      </c>
      <c r="E21" s="60" t="inlineStr">
        <is>
          <t>Interviewé, pilote du processus</t>
        </is>
      </c>
      <c r="F21" s="60" t="n"/>
      <c r="G21" s="60" t="n"/>
      <c r="H21" s="60" t="inlineStr">
        <is>
          <t>Oui</t>
        </is>
      </c>
    </row>
    <row r="22" ht="25.5" customHeight="1" s="63">
      <c r="A22" s="18" t="n">
        <v>2</v>
      </c>
      <c r="B22" s="60" t="inlineStr">
        <is>
          <t>Consultant Exemple</t>
        </is>
      </c>
      <c r="C22" s="60" t="inlineStr">
        <is>
          <t>Consultant (Cabinet Exemple)</t>
        </is>
      </c>
      <c r="D22" s="60" t="inlineStr">
        <is>
          <t>Cabinet Exemple</t>
        </is>
      </c>
      <c r="E22" s="60" t="inlineStr">
        <is>
          <t>Conduite de l'entretien</t>
        </is>
      </c>
      <c r="F22" s="60" t="n"/>
      <c r="G22" s="60" t="n"/>
      <c r="H22" s="60" t="inlineStr">
        <is>
          <t>Oui</t>
        </is>
      </c>
    </row>
    <row r="23" ht="18.95" customHeight="1" s="63">
      <c r="A23" s="18" t="n">
        <v>3</v>
      </c>
      <c r="B23" s="60" t="n"/>
      <c r="C23" s="60" t="n"/>
      <c r="D23" s="60" t="n"/>
      <c r="E23" s="60" t="n"/>
      <c r="F23" s="60" t="n"/>
      <c r="G23" s="60" t="n"/>
      <c r="H23" s="60" t="n"/>
    </row>
    <row r="24" ht="18.95" customHeight="1" s="63">
      <c r="A24" s="18" t="n">
        <v>4</v>
      </c>
      <c r="B24" s="60" t="n"/>
      <c r="C24" s="60" t="n"/>
      <c r="D24" s="60" t="n"/>
      <c r="E24" s="60" t="n"/>
      <c r="F24" s="60" t="n"/>
      <c r="G24" s="60" t="n"/>
      <c r="H24" s="60" t="n"/>
    </row>
    <row r="25" ht="18.95" customHeight="1" s="63">
      <c r="A25" s="18" t="n">
        <v>5</v>
      </c>
      <c r="B25" s="60" t="n"/>
      <c r="C25" s="60" t="n"/>
      <c r="D25" s="60" t="n"/>
      <c r="E25" s="60" t="n"/>
      <c r="F25" s="60" t="n"/>
      <c r="G25" s="60" t="n"/>
      <c r="H25" s="60" t="n"/>
    </row>
    <row r="26" ht="18.95" customHeight="1" s="63">
      <c r="A26" s="18" t="n">
        <v>6</v>
      </c>
      <c r="B26" s="60" t="n"/>
      <c r="C26" s="60" t="n"/>
      <c r="D26" s="60" t="n"/>
      <c r="E26" s="60" t="n"/>
      <c r="F26" s="60" t="n"/>
      <c r="G26" s="60" t="n"/>
      <c r="H26" s="60" t="n"/>
    </row>
    <row r="27"/>
    <row r="28" ht="18.95" customHeight="1" s="63">
      <c r="A28" s="42" t="inlineStr">
        <is>
          <t>C. CADRAGE DE LA PROCÉDURE — QUESTIONS GUIDES</t>
        </is>
      </c>
      <c r="B28" s="43" t="n"/>
      <c r="C28" s="43" t="n"/>
      <c r="D28" s="43" t="n"/>
      <c r="E28" s="43" t="n"/>
      <c r="F28" s="43" t="n"/>
      <c r="G28" s="43" t="n"/>
      <c r="H28" s="41" t="n"/>
    </row>
    <row r="29" ht="48.95" customHeight="1" s="63">
      <c r="A29" s="17" t="n">
        <v>1</v>
      </c>
      <c r="B29" s="9" t="inlineStr">
        <is>
          <t>Objet (Pourquoi ?)</t>
        </is>
      </c>
      <c r="C29" s="61" t="inlineStr">
        <is>
          <t>À quoi sert cette procédure ? Quel problème ou quelle exigence traite-t-elle ?</t>
        </is>
      </c>
      <c r="D29" s="41" t="n"/>
      <c r="E29" s="60" t="inlineStr">
        <is>
          <t>Maîtriser le circuit d'un contrat, de la demande au renouvellement : rédaction, validation, signature, diffusion, archivage et suivi.</t>
        </is>
      </c>
      <c r="F29" s="43" t="n"/>
      <c r="G29" s="43" t="n"/>
      <c r="H29" s="41" t="n"/>
    </row>
    <row r="30" ht="48.95" customHeight="1" s="63">
      <c r="A30" s="17" t="n">
        <v>2</v>
      </c>
      <c r="B30" s="9" t="inlineStr">
        <is>
          <t>Domaine d'application</t>
        </is>
      </c>
      <c r="C30" s="61" t="inlineStr">
        <is>
          <t>À quelles activités, sites, produits, clients s'applique-t-elle ?</t>
        </is>
      </c>
      <c r="D30" s="41" t="n"/>
      <c r="E30" s="60" t="inlineStr">
        <is>
          <t>Contrats avec les clients et les fournisseurs (transport, pièces de rechange, projets)</t>
        </is>
      </c>
      <c r="F30" s="43" t="n"/>
      <c r="G30" s="43" t="n"/>
      <c r="H30" s="41" t="n"/>
    </row>
    <row r="31" ht="33.95" customHeight="1" s="63">
      <c r="A31" s="17" t="n">
        <v>3</v>
      </c>
      <c r="B31" s="9" t="inlineStr">
        <is>
          <t>Exclusions / hors périmètre</t>
        </is>
      </c>
      <c r="C31" s="61" t="inlineStr">
        <is>
          <t>Qu'est-ce qui n'est pas couvert (cas traités par une autre procédure) ?</t>
        </is>
      </c>
      <c r="D31" s="41" t="n"/>
      <c r="E31" s="60" t="inlineStr">
        <is>
          <t>Contrats de travail ; baux (PR-JUR-04), , contrats de travail.</t>
        </is>
      </c>
      <c r="F31" s="43" t="n"/>
      <c r="G31" s="43" t="n"/>
      <c r="H31" s="41" t="n"/>
    </row>
    <row r="32" ht="33.95" customHeight="1" s="63">
      <c r="A32" s="17" t="n">
        <v>4</v>
      </c>
      <c r="B32" s="9" t="inlineStr">
        <is>
          <t>Événement déclencheur (Début)</t>
        </is>
      </c>
      <c r="C32" s="61" t="inlineStr">
        <is>
          <t>Quel événement, demande ou date déclenche la procédure ?</t>
        </is>
      </c>
      <c r="D32" s="41" t="n"/>
      <c r="E32" s="60" t="inlineStr">
        <is>
          <t>Sollicitation du DAJ par un service pour un contrat.</t>
        </is>
      </c>
      <c r="F32" s="43" t="n"/>
      <c r="G32" s="43" t="n"/>
      <c r="H32" s="41" t="n"/>
    </row>
    <row r="33" ht="33.95" customHeight="1" s="63">
      <c r="A33" s="17" t="n">
        <v>5</v>
      </c>
      <c r="B33" s="9" t="inlineStr">
        <is>
          <t>Résultat final attendu (Fin)</t>
        </is>
      </c>
      <c r="C33" s="61" t="inlineStr">
        <is>
          <t>Quand considère-t-on que la procédure est terminée ? Quel est le livrable final ?</t>
        </is>
      </c>
      <c r="D33" s="41" t="n"/>
      <c r="E33" s="60" t="inlineStr">
        <is>
          <t>Contrat signé, diffusé et archivé ; ou renouvellement décidé.</t>
        </is>
      </c>
      <c r="F33" s="43" t="n"/>
      <c r="G33" s="43" t="n"/>
      <c r="H33" s="41" t="n"/>
    </row>
    <row r="34" ht="33.95" customHeight="1" s="63">
      <c r="A34" s="17" t="n">
        <v>6</v>
      </c>
      <c r="B34" s="9" t="inlineStr">
        <is>
          <t>Bénéficiaires / clients</t>
        </is>
      </c>
      <c r="C34" s="61" t="inlineStr">
        <is>
          <t>Qui bénéficie du résultat (internes et externes) ?</t>
        </is>
      </c>
      <c r="D34" s="41" t="n"/>
      <c r="E34" s="60" t="inlineStr">
        <is>
          <t>Services demandeurs ; DG ; clients et fournisseurs.</t>
        </is>
      </c>
      <c r="F34" s="43" t="n"/>
      <c r="G34" s="43" t="n"/>
      <c r="H34" s="41" t="n"/>
    </row>
    <row r="35" ht="33.95" customHeight="1" s="63">
      <c r="A35" s="17" t="n">
        <v>7</v>
      </c>
      <c r="B35" s="9" t="inlineStr">
        <is>
          <t>Fréquence / volume (Combien ?)</t>
        </is>
      </c>
      <c r="C35" s="61" t="inlineStr">
        <is>
          <t>Nombre de cas par mois / an ; pics d'activité</t>
        </is>
      </c>
      <c r="D35" s="41" t="n"/>
      <c r="E35" s="60" t="inlineStr">
        <is>
          <t>À préciser (nombre de contrats par an).</t>
        </is>
      </c>
      <c r="F35" s="43" t="n"/>
      <c r="G35" s="43" t="n"/>
      <c r="H35" s="41" t="n"/>
    </row>
    <row r="36" ht="33.95" customHeight="1" s="63">
      <c r="A36" s="17" t="n">
        <v>8</v>
      </c>
      <c r="B36" s="9" t="inlineStr">
        <is>
          <t>Durée totale / délai global</t>
        </is>
      </c>
      <c r="C36" s="61" t="inlineStr">
        <is>
          <t>Délai cible entre le début et la fin</t>
        </is>
      </c>
      <c r="D36" s="41" t="n"/>
      <c r="E36" s="60" t="inlineStr">
        <is>
          <t>10 jours</t>
        </is>
      </c>
      <c r="F36" s="43" t="n"/>
      <c r="G36" s="43" t="n"/>
      <c r="H36" s="41" t="n"/>
    </row>
    <row r="37" ht="33.95" customHeight="1" s="63">
      <c r="A37" s="17" t="n">
        <v>9</v>
      </c>
      <c r="B37" s="9" t="inlineStr">
        <is>
          <t>Interfaces</t>
        </is>
      </c>
      <c r="C37" s="61" t="inlineStr">
        <is>
          <t>Procédures, processus ou services en amont et en aval</t>
        </is>
      </c>
      <c r="D37" s="41" t="n"/>
      <c r="E37" s="60" t="inlineStr">
        <is>
          <t>Service demandeur, DG, Achats, Exploitation, DT, QHSE, IT</t>
        </is>
      </c>
      <c r="F37" s="43" t="n"/>
      <c r="G37" s="43" t="n"/>
      <c r="H37" s="41" t="n"/>
    </row>
    <row r="38" ht="33.95" customHeight="1" s="63">
      <c r="A38" s="17" t="n">
        <v>10</v>
      </c>
      <c r="B38" s="9" t="inlineStr">
        <is>
          <t>Exigences applicables</t>
        </is>
      </c>
      <c r="C38" s="61" t="inlineStr">
        <is>
          <t>Légales, réglementaires, contractuelles (clients, assureurs), normatives (ISO 9001, 14001, 45001…)</t>
        </is>
      </c>
      <c r="D38" s="41" t="n"/>
      <c r="E38" s="60" t="inlineStr">
        <is>
          <t>Faire une recherche</t>
        </is>
      </c>
      <c r="F38" s="43" t="n"/>
      <c r="G38" s="43" t="n"/>
      <c r="H38" s="41" t="n"/>
    </row>
    <row r="39" ht="33.95" customHeight="1" s="63">
      <c r="A39" s="17" t="n">
        <v>11</v>
      </c>
      <c r="B39" s="9" t="inlineStr">
        <is>
          <t>Documents existants collectés</t>
        </is>
      </c>
      <c r="C39" s="61" t="inlineStr">
        <is>
          <t>Références des procédures, notes, formulaires déjà en vigueur</t>
        </is>
      </c>
      <c r="D39" s="41" t="n"/>
      <c r="E39" s="60" t="inlineStr">
        <is>
          <t>À collecter : fichier de suivi des contrats, modèle de visa.</t>
        </is>
      </c>
      <c r="F39" s="43" t="n"/>
      <c r="G39" s="43" t="n"/>
      <c r="H39" s="41" t="n"/>
    </row>
    <row r="40" ht="33.95" customHeight="1" s="63">
      <c r="A40" s="17" t="n">
        <v>12</v>
      </c>
      <c r="B40" s="9" t="inlineStr">
        <is>
          <t>Outils / applications utilisés</t>
        </is>
      </c>
      <c r="C40" s="61" t="inlineStr">
        <is>
          <t>Logiciels, fichiers partagés, messagerie, téléphone…</t>
        </is>
      </c>
      <c r="D40" s="41" t="n"/>
      <c r="E40" s="60" t="inlineStr">
        <is>
          <t>Fichier numérique de suivi ; copies scannées ; mail ; signature électronique, trame</t>
        </is>
      </c>
      <c r="F40" s="43" t="n"/>
      <c r="G40" s="43" t="n"/>
      <c r="H40" s="41" t="n"/>
    </row>
    <row r="41" ht="33.95" customHeight="1" s="63">
      <c r="A41" s="17" t="n">
        <v>13</v>
      </c>
      <c r="B41" s="9" t="inlineStr">
        <is>
          <t>Définitions et abréviations</t>
        </is>
      </c>
      <c r="C41" s="61" t="inlineStr">
        <is>
          <t>Termes métiers, sigles à expliciter dans la procédure</t>
        </is>
      </c>
      <c r="D41" s="41" t="n"/>
      <c r="E41" s="60" t="inlineStr">
        <is>
          <t>Visa du DAJ ; mouture finale ; avenant ; renouvellement.</t>
        </is>
      </c>
      <c r="F41" s="43" t="n"/>
      <c r="G41" s="43" t="n"/>
      <c r="H41" s="41" t="n"/>
    </row>
    <row r="42" ht="33.95" customHeight="1" s="63">
      <c r="A42" s="17" t="n">
        <v>14</v>
      </c>
      <c r="B42" s="9" t="inlineStr">
        <is>
          <t>Dysfonctionnements constatés</t>
        </is>
      </c>
      <c r="C42" s="61" t="inlineStr">
        <is>
          <t>Retards, oublis, litiges, non-conformités, réclamations récurrentes</t>
        </is>
      </c>
      <c r="D42" s="41" t="n"/>
      <c r="E42" s="60" t="inlineStr">
        <is>
          <t>Suivi des renouvellements manuel et par une seule personne.</t>
        </is>
      </c>
      <c r="F42" s="43" t="n"/>
      <c r="G42" s="43" t="n"/>
      <c r="H42" s="41" t="n"/>
    </row>
    <row r="43" ht="33.95" customHeight="1" s="63">
      <c r="A43" s="17" t="n">
        <v>15</v>
      </c>
      <c r="B43" s="9" t="inlineStr">
        <is>
          <t>Attentes d'amélioration</t>
        </is>
      </c>
      <c r="C43" s="61" t="inlineStr">
        <is>
          <t>Ce que les acteurs souhaitent voir simplifier, clarifier, automatiser</t>
        </is>
      </c>
      <c r="D43" s="41" t="n"/>
      <c r="E43" s="60" t="inlineStr">
        <is>
          <t>Un circuit écrit ; un second intervenant ; un cahier d'envoi des contrats.</t>
        </is>
      </c>
      <c r="F43" s="43" t="n"/>
      <c r="G43" s="43" t="n"/>
      <c r="H43" s="41" t="n"/>
    </row>
  </sheetData>
  <mergeCells count="61">
    <mergeCell ref="C34:D34"/>
    <mergeCell ref="C30:D30"/>
    <mergeCell ref="G2:H2"/>
    <mergeCell ref="C15:D15"/>
    <mergeCell ref="C33:D33"/>
    <mergeCell ref="C42:D42"/>
    <mergeCell ref="E16:H16"/>
    <mergeCell ref="C14:D14"/>
    <mergeCell ref="E7:H7"/>
    <mergeCell ref="E41:H41"/>
    <mergeCell ref="E32:H32"/>
    <mergeCell ref="C1:F4"/>
    <mergeCell ref="A6:H6"/>
    <mergeCell ref="E37:H37"/>
    <mergeCell ref="C35:D35"/>
    <mergeCell ref="C29:D29"/>
    <mergeCell ref="C10:D10"/>
    <mergeCell ref="C16:D16"/>
    <mergeCell ref="E43:H43"/>
    <mergeCell ref="E12:H12"/>
    <mergeCell ref="C41:D41"/>
    <mergeCell ref="C40:D40"/>
    <mergeCell ref="C9:D9"/>
    <mergeCell ref="E33:H33"/>
    <mergeCell ref="C31:D31"/>
    <mergeCell ref="G3:H3"/>
    <mergeCell ref="E42:H42"/>
    <mergeCell ref="E14:H14"/>
    <mergeCell ref="C43:D43"/>
    <mergeCell ref="C12:D12"/>
    <mergeCell ref="E17:H17"/>
    <mergeCell ref="E39:H39"/>
    <mergeCell ref="E8:H8"/>
    <mergeCell ref="C11:D11"/>
    <mergeCell ref="E35:H35"/>
    <mergeCell ref="E38:H38"/>
    <mergeCell ref="C36:D36"/>
    <mergeCell ref="E29:H29"/>
    <mergeCell ref="C17:D17"/>
    <mergeCell ref="E10:H10"/>
    <mergeCell ref="C39:D39"/>
    <mergeCell ref="C8:D8"/>
    <mergeCell ref="E13:H13"/>
    <mergeCell ref="G4:H4"/>
    <mergeCell ref="E40:H40"/>
    <mergeCell ref="C32:D32"/>
    <mergeCell ref="C38:D38"/>
    <mergeCell ref="E31:H31"/>
    <mergeCell ref="E9:H9"/>
    <mergeCell ref="C7:D7"/>
    <mergeCell ref="G1:H1"/>
    <mergeCell ref="E34:H34"/>
    <mergeCell ref="A1:B4"/>
    <mergeCell ref="C37:D37"/>
    <mergeCell ref="A28:H28"/>
    <mergeCell ref="E30:H30"/>
    <mergeCell ref="E15:H15"/>
    <mergeCell ref="A19:H19"/>
    <mergeCell ref="C13:D13"/>
    <mergeCell ref="E11:H11"/>
    <mergeCell ref="E36:H36"/>
  </mergeCells>
  <dataValidations count="2">
    <dataValidation sqref="E13" showDropDown="0" showInputMessage="0" showErrorMessage="1" allowBlank="1" errorTitle="Valeur non prévue" error="Choisir une valeur dans la liste." type="list">
      <formula1>ListeTypeDoc</formula1>
      <formula2>0</formula2>
    </dataValidation>
    <dataValidation sqref="H21:H26" showDropDown="0" showInputMessage="0" showErrorMessage="1" allowBlank="1" errorTitle="Valeur non prévue" error="Choisir une valeur dans la liste." type="list">
      <formula1>ListeOuiNon</formula1>
      <formula2>0</formula2>
    </dataValidation>
  </dataValidations>
  <pageMargins left="0.4" right="0.4" top="0.5" bottom="0.5" header="0.511811023622047" footer="0.5"/>
  <pageSetup orientation="portrait" paperSize="9" fitToHeight="0" horizontalDpi="300" verticalDpi="300"/>
  <headerFooter>
    <oddHeader/>
    <oddFooter>&amp;LISOPEX C&amp;P — Fiche de collecte Qualigramme&amp;RPage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005A70"/>
    <outlinePr summaryBelow="1" summaryRight="1"/>
    <pageSetUpPr fitToPage="1"/>
  </sheetPr>
  <dimension ref="A1:J38"/>
  <sheetViews>
    <sheetView showGridLines="0" zoomScale="87" zoomScaleNormal="87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9" sqref="F9"/>
    </sheetView>
  </sheetViews>
  <sheetFormatPr baseColWidth="10" defaultColWidth="8.7109375" defaultRowHeight="15"/>
  <cols>
    <col width="5" customWidth="1" style="63" min="1" max="1"/>
    <col width="12" customWidth="1" style="63" min="2" max="2"/>
    <col width="30" customWidth="1" style="63" min="3" max="3"/>
    <col width="22" customWidth="1" style="63" min="4" max="4"/>
    <col width="12" customWidth="1" style="63" min="5" max="5"/>
    <col width="46" customWidth="1" style="63" min="6" max="6"/>
    <col width="22" customWidth="1" style="63" min="7" max="8"/>
    <col width="14" customWidth="1" style="63" min="9" max="9"/>
    <col width="30" customWidth="1" style="63" min="10" max="10"/>
  </cols>
  <sheetData>
    <row r="1" ht="18" customHeight="1" s="63">
      <c r="A1" s="44" t="inlineStr">
        <is>
          <t>[Logo de l'organisation]</t>
        </is>
      </c>
      <c r="B1" s="45" t="n"/>
      <c r="C1" s="55" t="inlineStr">
        <is>
          <t>FICHE DE COLLECTE — RÔLES / ACTEURS DE LA PROCÉDURE</t>
        </is>
      </c>
      <c r="D1" s="56" t="n"/>
      <c r="E1" s="56" t="n"/>
      <c r="F1" s="56" t="n"/>
      <c r="G1" s="56" t="n"/>
      <c r="H1" s="45" t="n"/>
      <c r="I1" s="40" t="inlineStr">
        <is>
          <t>Code : FC-QUA-01</t>
        </is>
      </c>
      <c r="J1" s="41" t="n"/>
    </row>
    <row r="2" ht="18" customHeight="1" s="63">
      <c r="A2" s="46" t="n"/>
      <c r="B2" s="47" t="n"/>
      <c r="C2" s="46" t="n"/>
      <c r="H2" s="47" t="n"/>
      <c r="I2" s="40" t="inlineStr">
        <is>
          <t>Version : 01</t>
        </is>
      </c>
      <c r="J2" s="41" t="n"/>
    </row>
    <row r="3" ht="18" customHeight="1" s="63">
      <c r="A3" s="46" t="n"/>
      <c r="B3" s="47" t="n"/>
      <c r="C3" s="46" t="n"/>
      <c r="H3" s="47" t="n"/>
      <c r="I3" s="40" t="inlineStr">
        <is>
          <t>Date : ____/____/______</t>
        </is>
      </c>
      <c r="J3" s="41" t="n"/>
    </row>
    <row r="4" ht="18" customHeight="1" s="63">
      <c r="A4" s="48" t="n"/>
      <c r="B4" s="49" t="n"/>
      <c r="C4" s="48" t="n"/>
      <c r="D4" s="57" t="n"/>
      <c r="E4" s="57" t="n"/>
      <c r="F4" s="57" t="n"/>
      <c r="G4" s="57" t="n"/>
      <c r="H4" s="49" t="n"/>
      <c r="I4" s="40" t="inlineStr">
        <is>
          <t>Page : ___ / ___</t>
        </is>
      </c>
      <c r="J4" s="41" t="n"/>
    </row>
    <row r="5"/>
    <row r="6" ht="18.95" customHeight="1" s="63">
      <c r="A6" s="65" t="inlineStr">
        <is>
          <t>Organisation :</t>
        </is>
      </c>
      <c r="B6" s="41" t="n"/>
      <c r="C6" s="64">
        <f>Cadrage!E7</f>
        <v/>
      </c>
      <c r="D6" s="43" t="n"/>
      <c r="E6" s="41" t="n"/>
      <c r="F6" s="65" t="inlineStr">
        <is>
          <t>Procédure :</t>
        </is>
      </c>
      <c r="G6" s="64">
        <f>Cadrage!E11</f>
        <v/>
      </c>
      <c r="H6" s="43" t="n"/>
      <c r="I6" s="43" t="n"/>
      <c r="J6" s="41" t="n"/>
    </row>
    <row r="7"/>
    <row r="8" ht="48.95" customHeight="1" s="63">
      <c r="A8" s="8" t="inlineStr">
        <is>
          <t>N°</t>
        </is>
      </c>
      <c r="B8" s="8" t="inlineStr">
        <is>
          <t>Code rôle</t>
        </is>
      </c>
      <c r="C8" s="8" t="inlineStr">
        <is>
          <t>Intitulé du rôle (fonction)</t>
        </is>
      </c>
      <c r="D8" s="8" t="inlineStr">
        <is>
          <t>Service / Direction</t>
        </is>
      </c>
      <c r="E8" s="8" t="inlineStr">
        <is>
          <t>Interne / Externe</t>
        </is>
      </c>
      <c r="F8" s="8" t="inlineStr">
        <is>
          <t>Responsabilités dans la procédure</t>
        </is>
      </c>
      <c r="G8" s="8" t="inlineStr">
        <is>
          <t>Titulaire actuel</t>
        </is>
      </c>
      <c r="H8" s="8" t="inlineStr">
        <is>
          <t>Suppléant / intérim</t>
        </is>
      </c>
      <c r="I8" s="8" t="inlineStr">
        <is>
          <t>Pouvoir de décision</t>
        </is>
      </c>
      <c r="J8" s="8" t="inlineStr">
        <is>
          <t>Commentaires</t>
        </is>
      </c>
    </row>
    <row r="9" ht="48.95" customHeight="1" s="63">
      <c r="A9" s="18" t="n">
        <v>1</v>
      </c>
      <c r="B9" s="60" t="inlineStr">
        <is>
          <t>DEM</t>
        </is>
      </c>
      <c r="C9" s="60" t="inlineStr">
        <is>
          <t>Toutes les directions</t>
        </is>
      </c>
      <c r="D9" s="60" t="inlineStr">
        <is>
          <t>Tous services</t>
        </is>
      </c>
      <c r="E9" s="60" t="inlineStr">
        <is>
          <t>Interne</t>
        </is>
      </c>
      <c r="F9" s="60" t="inlineStr">
        <is>
          <t>Exprime le besoin de contrat, fournit les éléments techniques et financiers, participe à la négociation</t>
        </is>
      </c>
      <c r="G9" s="60" t="n"/>
      <c r="H9" s="60" t="n"/>
      <c r="I9" s="60" t="inlineStr">
        <is>
          <t>Non</t>
        </is>
      </c>
      <c r="J9" s="60" t="inlineStr">
        <is>
          <t>Porte d'entrée du contrat</t>
        </is>
      </c>
    </row>
    <row r="10" ht="33.95" customHeight="1" s="63">
      <c r="A10" s="18" t="n">
        <v>2</v>
      </c>
      <c r="B10" s="60" t="inlineStr">
        <is>
          <t>DAJ</t>
        </is>
      </c>
      <c r="C10" s="60" t="inlineStr">
        <is>
          <t>Direction Administrative et Juridique (DAJ)</t>
        </is>
      </c>
      <c r="D10" s="60" t="inlineStr">
        <is>
          <t>Juridique / DAJ</t>
        </is>
      </c>
      <c r="E10" s="60" t="inlineStr">
        <is>
          <t>Interne</t>
        </is>
      </c>
      <c r="F10" s="60" t="inlineStr">
        <is>
          <t>Recueille le cahier des charges, rédige, négocie, vise, archive, suit les échéances</t>
        </is>
      </c>
      <c r="G10" s="60" t="inlineStr">
        <is>
          <t>Jean Exemple</t>
        </is>
      </c>
      <c r="H10" s="60" t="n"/>
      <c r="I10" s="60" t="inlineStr">
        <is>
          <t>Partiel</t>
        </is>
      </c>
      <c r="J10" s="60" t="inlineStr">
        <is>
          <t>Seul à ce jour : l'équipe n'est pas encore constituée</t>
        </is>
      </c>
    </row>
    <row r="11" ht="18.95" customHeight="1" s="63">
      <c r="A11" s="18" t="n">
        <v>3</v>
      </c>
      <c r="B11" s="60" t="inlineStr">
        <is>
          <t>DG</t>
        </is>
      </c>
      <c r="C11" s="60" t="inlineStr">
        <is>
          <t>Direction Générale</t>
        </is>
      </c>
      <c r="D11" s="60" t="inlineStr">
        <is>
          <t>Direction Générale</t>
        </is>
      </c>
      <c r="E11" s="60" t="inlineStr">
        <is>
          <t>Interne</t>
        </is>
      </c>
      <c r="F11" s="60" t="inlineStr">
        <is>
          <t>Signe le contrat après visa du DAJ</t>
        </is>
      </c>
      <c r="G11" s="60" t="n"/>
      <c r="H11" s="60" t="n"/>
      <c r="I11" s="60" t="inlineStr">
        <is>
          <t>Oui</t>
        </is>
      </c>
      <c r="J11" s="60" t="inlineStr">
        <is>
          <t>Ne signe pas sans visa du DAJ</t>
        </is>
      </c>
    </row>
    <row r="12" ht="18.95" customHeight="1" s="63">
      <c r="A12" s="18" t="n">
        <v>4</v>
      </c>
      <c r="B12" s="60" t="inlineStr">
        <is>
          <t>CONTRE</t>
        </is>
      </c>
      <c r="C12" s="60" t="inlineStr">
        <is>
          <t>Exploitation</t>
        </is>
      </c>
      <c r="D12" s="60" t="inlineStr">
        <is>
          <t>-</t>
        </is>
      </c>
      <c r="E12" s="60" t="inlineStr">
        <is>
          <t>Externe</t>
        </is>
      </c>
      <c r="F12" s="60" t="inlineStr">
        <is>
          <t>Négocie et contresigne le contrat</t>
        </is>
      </c>
      <c r="G12" s="60" t="n"/>
      <c r="H12" s="60" t="n"/>
      <c r="I12" s="60" t="inlineStr">
        <is>
          <t>Non</t>
        </is>
      </c>
      <c r="J12" s="60" t="n"/>
    </row>
    <row r="13" ht="25.5" customHeight="1" s="63">
      <c r="A13" s="18" t="n">
        <v>5</v>
      </c>
      <c r="B13" s="60" t="inlineStr">
        <is>
          <t>AGENT</t>
        </is>
      </c>
      <c r="C13" s="60" t="inlineStr">
        <is>
          <t>Agent de liaison</t>
        </is>
      </c>
      <c r="D13" s="60" t="inlineStr">
        <is>
          <t>Courrier</t>
        </is>
      </c>
      <c r="E13" s="60" t="inlineStr">
        <is>
          <t>Interne</t>
        </is>
      </c>
      <c r="F13" s="60" t="inlineStr">
        <is>
          <t>Dépose les contrats auprès des destinataires contre décharge</t>
        </is>
      </c>
      <c r="G13" s="60" t="n"/>
      <c r="H13" s="60" t="n"/>
      <c r="I13" s="60" t="inlineStr">
        <is>
          <t>Non</t>
        </is>
      </c>
      <c r="J13" s="60" t="inlineStr">
        <is>
          <t>À confirmer</t>
        </is>
      </c>
    </row>
    <row r="14" ht="18.95" customHeight="1" s="63">
      <c r="A14" s="18" t="n">
        <v>6</v>
      </c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</row>
    <row r="15" ht="18.95" customHeight="1" s="63">
      <c r="A15" s="18" t="n">
        <v>7</v>
      </c>
      <c r="B15" s="60" t="n"/>
      <c r="C15" s="60" t="n"/>
      <c r="D15" s="60" t="n"/>
      <c r="E15" s="60" t="n"/>
      <c r="F15" s="60" t="n"/>
      <c r="G15" s="60" t="n"/>
      <c r="H15" s="60" t="n"/>
      <c r="I15" s="60" t="n"/>
      <c r="J15" s="60" t="n"/>
    </row>
    <row r="16" ht="18.95" customHeight="1" s="63">
      <c r="A16" s="18" t="n">
        <v>8</v>
      </c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</row>
    <row r="17" ht="18.95" customHeight="1" s="63">
      <c r="A17" s="18" t="n">
        <v>9</v>
      </c>
      <c r="B17" s="60" t="n"/>
      <c r="C17" s="60" t="n"/>
      <c r="D17" s="60" t="n"/>
      <c r="E17" s="60" t="n"/>
      <c r="F17" s="60" t="n"/>
      <c r="G17" s="60" t="n"/>
      <c r="H17" s="60" t="n"/>
      <c r="I17" s="60" t="n"/>
      <c r="J17" s="60" t="n"/>
    </row>
    <row r="18" ht="18.95" customHeight="1" s="63">
      <c r="A18" s="18" t="n">
        <v>10</v>
      </c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</row>
    <row r="19" ht="18.95" customHeight="1" s="63">
      <c r="A19" s="18" t="n">
        <v>11</v>
      </c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</row>
    <row r="20" ht="18.95" customHeight="1" s="63">
      <c r="A20" s="18" t="n">
        <v>12</v>
      </c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</row>
    <row r="21" ht="18.95" customHeight="1" s="63">
      <c r="A21" s="18" t="n">
        <v>13</v>
      </c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</row>
    <row r="22" ht="18.95" customHeight="1" s="63">
      <c r="A22" s="18" t="n">
        <v>14</v>
      </c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</row>
    <row r="23" ht="18.95" customHeight="1" s="63">
      <c r="A23" s="18" t="n">
        <v>15</v>
      </c>
      <c r="B23" s="60" t="n"/>
      <c r="C23" s="60" t="n"/>
      <c r="D23" s="60" t="n"/>
      <c r="E23" s="60" t="n"/>
      <c r="F23" s="60" t="n"/>
      <c r="G23" s="60" t="n"/>
      <c r="H23" s="60" t="n"/>
      <c r="I23" s="60" t="n"/>
      <c r="J23" s="60" t="n"/>
    </row>
    <row r="24" ht="18.95" customHeight="1" s="63">
      <c r="A24" s="18" t="n">
        <v>16</v>
      </c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</row>
    <row r="25" ht="18.95" customHeight="1" s="63">
      <c r="A25" s="18" t="n">
        <v>17</v>
      </c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</row>
    <row r="26" ht="18.95" customHeight="1" s="63">
      <c r="A26" s="18" t="n">
        <v>18</v>
      </c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</row>
    <row r="27" ht="18.95" customHeight="1" s="63">
      <c r="A27" s="18" t="n">
        <v>19</v>
      </c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</row>
    <row r="28" ht="18.95" customHeight="1" s="63">
      <c r="A28" s="18" t="n">
        <v>20</v>
      </c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</row>
    <row r="29" ht="18.95" customHeight="1" s="63">
      <c r="A29" s="18" t="n">
        <v>21</v>
      </c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</row>
    <row r="30" ht="18.95" customHeight="1" s="63">
      <c r="A30" s="18" t="n">
        <v>22</v>
      </c>
      <c r="B30" s="60" t="n"/>
      <c r="C30" s="60" t="n"/>
      <c r="D30" s="60" t="n"/>
      <c r="E30" s="60" t="n"/>
      <c r="F30" s="60" t="n"/>
      <c r="G30" s="60" t="n"/>
      <c r="H30" s="60" t="n"/>
      <c r="I30" s="60" t="n"/>
      <c r="J30" s="60" t="n"/>
    </row>
    <row r="31" ht="18.95" customHeight="1" s="63">
      <c r="A31" s="18" t="n">
        <v>23</v>
      </c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</row>
    <row r="32" ht="18.95" customHeight="1" s="63">
      <c r="A32" s="18" t="n">
        <v>24</v>
      </c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</row>
    <row r="33" ht="18.95" customHeight="1" s="63">
      <c r="A33" s="18" t="n">
        <v>25</v>
      </c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</row>
    <row r="34" ht="18.95" customHeight="1" s="63">
      <c r="A34" s="18" t="n">
        <v>26</v>
      </c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</row>
    <row r="35" ht="18.95" customHeight="1" s="63">
      <c r="A35" s="18" t="n">
        <v>27</v>
      </c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</row>
    <row r="36" ht="18.95" customHeight="1" s="63">
      <c r="A36" s="18" t="n">
        <v>28</v>
      </c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</row>
    <row r="37" ht="18.95" customHeight="1" s="63">
      <c r="A37" s="18" t="n">
        <v>29</v>
      </c>
      <c r="B37" s="60" t="n"/>
      <c r="C37" s="60" t="n"/>
      <c r="D37" s="60" t="n"/>
      <c r="E37" s="60" t="n"/>
      <c r="F37" s="60" t="n"/>
      <c r="G37" s="60" t="n"/>
      <c r="H37" s="60" t="n"/>
      <c r="I37" s="60" t="n"/>
      <c r="J37" s="60" t="n"/>
    </row>
    <row r="38" ht="18.95" customHeight="1" s="63">
      <c r="A38" s="18" t="n">
        <v>30</v>
      </c>
      <c r="B38" s="60" t="n"/>
      <c r="C38" s="60" t="n"/>
      <c r="D38" s="60" t="n"/>
      <c r="E38" s="60" t="n"/>
      <c r="F38" s="60" t="n"/>
      <c r="G38" s="60" t="n"/>
      <c r="H38" s="60" t="n"/>
      <c r="I38" s="60" t="n"/>
      <c r="J38" s="60" t="n"/>
    </row>
  </sheetData>
  <mergeCells count="9">
    <mergeCell ref="G6:J6"/>
    <mergeCell ref="I4:J4"/>
    <mergeCell ref="C1:H4"/>
    <mergeCell ref="I2:J2"/>
    <mergeCell ref="A1:B4"/>
    <mergeCell ref="A6:B6"/>
    <mergeCell ref="I1:J1"/>
    <mergeCell ref="C6:E6"/>
    <mergeCell ref="I3:J3"/>
  </mergeCells>
  <dataValidations count="2">
    <dataValidation sqref="E9:E38" showDropDown="0" showInputMessage="0" showErrorMessage="1" allowBlank="1" errorTitle="Valeur non prévue" error="Choisir une valeur dans la liste." type="list">
      <formula1>ListeIntExt</formula1>
      <formula2>0</formula2>
    </dataValidation>
    <dataValidation sqref="I9:I38" showDropDown="0" showInputMessage="0" showErrorMessage="1" allowBlank="1" errorTitle="Valeur non prévue" error="Choisir une valeur dans la liste." type="list">
      <formula1>ListeOuiNon</formula1>
      <formula2>0</formula2>
    </dataValidation>
  </dataValidations>
  <pageMargins left="0.4" right="0.4" top="0.5" bottom="0.5" header="0.511811023622047" footer="0.5"/>
  <pageSetup orientation="landscape" paperSize="9" fitToHeight="0" horizontalDpi="300" verticalDpi="300"/>
  <headerFooter>
    <oddHeader/>
    <oddFooter>&amp;LISOPEX C&amp;P — Fiche de collecte Qualigramme&amp;RPage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5A70"/>
    <outlinePr summaryBelow="1" summaryRight="1"/>
    <pageSetUpPr fitToPage="1"/>
  </sheetPr>
  <dimension ref="A1:Z59"/>
  <sheetViews>
    <sheetView showGridLines="0" zoomScaleNormal="100" workbookViewId="0">
      <pane xSplit="3" ySplit="9" topLeftCell="D18" activePane="bottomRight" state="frozen"/>
      <selection pane="topRight" activeCell="D1" sqref="D1"/>
      <selection pane="bottomLeft" activeCell="A10" sqref="A10"/>
      <selection pane="bottomRight" activeCell="C18" sqref="C18"/>
    </sheetView>
  </sheetViews>
  <sheetFormatPr baseColWidth="10" defaultColWidth="8.7109375" defaultRowHeight="15"/>
  <cols>
    <col width="5" customWidth="1" style="63" min="1" max="1"/>
    <col width="18" customWidth="1" style="63" min="2" max="2"/>
    <col width="32" customWidth="1" style="63" min="3" max="3"/>
    <col width="18" customWidth="1" style="63" min="4" max="5"/>
    <col width="20" customWidth="1" style="63" min="6" max="6"/>
    <col width="22" customWidth="1" style="63" min="7" max="7"/>
    <col width="13" customWidth="1" style="63" min="8" max="8"/>
    <col width="28" customWidth="1" style="63" min="9" max="9"/>
    <col width="16" customWidth="1" style="63" min="10" max="10"/>
    <col width="28" customWidth="1" style="63" min="11" max="11"/>
    <col width="16" customWidth="1" style="63" min="12" max="12"/>
    <col width="20" customWidth="1" style="63" min="13" max="13"/>
    <col width="18" customWidth="1" style="63" min="14" max="14"/>
    <col width="12" customWidth="1" style="63" min="15" max="15"/>
    <col width="22" customWidth="1" style="63" min="16" max="16"/>
    <col width="9" customWidth="1" style="63" min="17" max="19"/>
    <col width="10" customWidth="1" style="63" min="20" max="20"/>
    <col width="11" customWidth="1" style="63" min="21" max="21"/>
    <col width="24" customWidth="1" style="63" min="22" max="23"/>
    <col width="20" customWidth="1" style="63" min="24" max="24"/>
    <col width="30" customWidth="1" style="63" min="25" max="25"/>
    <col width="12" customWidth="1" style="63" min="26" max="26"/>
  </cols>
  <sheetData>
    <row r="1" ht="18" customHeight="1" s="63">
      <c r="A1" s="44" t="inlineStr">
        <is>
          <t>[Logo de l'organisation]</t>
        </is>
      </c>
      <c r="B1" s="45" t="n"/>
      <c r="C1" s="55" t="inlineStr">
        <is>
          <t>FICHE DE COLLECTE — PROCÉDURE (NIVEAU 2 : QUI FAIT QUOI ?)</t>
        </is>
      </c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45" t="n"/>
      <c r="Y1" s="40" t="inlineStr">
        <is>
          <t>Code : FC-QUA-01</t>
        </is>
      </c>
      <c r="Z1" s="41" t="n"/>
    </row>
    <row r="2" ht="18" customHeight="1" s="63">
      <c r="A2" s="46" t="n"/>
      <c r="B2" s="47" t="n"/>
      <c r="C2" s="46" t="n"/>
      <c r="X2" s="47" t="n"/>
      <c r="Y2" s="40" t="inlineStr">
        <is>
          <t>Version : 01</t>
        </is>
      </c>
      <c r="Z2" s="41" t="n"/>
    </row>
    <row r="3" ht="18" customHeight="1" s="63">
      <c r="A3" s="46" t="n"/>
      <c r="B3" s="47" t="n"/>
      <c r="C3" s="46" t="n"/>
      <c r="X3" s="47" t="n"/>
      <c r="Y3" s="40" t="inlineStr">
        <is>
          <t>Date : ____/____/______</t>
        </is>
      </c>
      <c r="Z3" s="41" t="n"/>
    </row>
    <row r="4" ht="18" customHeight="1" s="63">
      <c r="A4" s="48" t="n"/>
      <c r="B4" s="49" t="n"/>
      <c r="C4" s="48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49" t="n"/>
      <c r="Y4" s="40" t="inlineStr">
        <is>
          <t>Page : ___ / ___</t>
        </is>
      </c>
      <c r="Z4" s="41" t="n"/>
    </row>
    <row r="5"/>
    <row r="6" ht="18.95" customFormat="1" customHeight="1" s="32">
      <c r="A6" s="68" t="inlineStr">
        <is>
          <t>Organisation :</t>
        </is>
      </c>
      <c r="B6" s="41" t="n"/>
      <c r="C6" s="59">
        <f>Cadrage!E7</f>
        <v/>
      </c>
      <c r="D6" s="43" t="n"/>
      <c r="E6" s="43" t="n"/>
      <c r="F6" s="41" t="n"/>
      <c r="G6" s="68" t="inlineStr">
        <is>
          <t>Processus :</t>
        </is>
      </c>
      <c r="H6" s="59">
        <f>Cadrage!E9</f>
        <v/>
      </c>
      <c r="I6" s="43" t="n"/>
      <c r="J6" s="43" t="n"/>
      <c r="K6" s="43" t="n"/>
      <c r="L6" s="41" t="n"/>
      <c r="M6" s="68" t="inlineStr">
        <is>
          <t>Procédure :</t>
        </is>
      </c>
      <c r="N6" s="59">
        <f>Cadrage!E11</f>
        <v/>
      </c>
      <c r="O6" s="43" t="n"/>
      <c r="P6" s="43" t="n"/>
      <c r="Q6" s="43" t="n"/>
      <c r="R6" s="41" t="n"/>
      <c r="S6" s="68" t="inlineStr">
        <is>
          <t>Date entretien :</t>
        </is>
      </c>
      <c r="T6" s="41" t="n"/>
      <c r="U6" s="67">
        <f>Cadrage!E14</f>
        <v/>
      </c>
      <c r="V6" s="43" t="n"/>
      <c r="W6" s="43" t="n"/>
      <c r="X6" s="43" t="n"/>
      <c r="Y6" s="43" t="n"/>
      <c r="Z6" s="41" t="n"/>
    </row>
    <row r="7"/>
    <row r="8" ht="18.95" customHeight="1" s="63">
      <c r="A8" s="66" t="n"/>
      <c r="B8" s="66" t="inlineStr">
        <is>
          <t>FAIT QUOI ?</t>
        </is>
      </c>
      <c r="C8" s="43" t="n"/>
      <c r="D8" s="41" t="n"/>
      <c r="E8" s="66" t="inlineStr">
        <is>
          <t>QUI ?</t>
        </is>
      </c>
      <c r="F8" s="41" t="n"/>
      <c r="G8" s="66" t="inlineStr">
        <is>
          <t>QUAND ?</t>
        </is>
      </c>
      <c r="H8" s="41" t="n"/>
      <c r="I8" s="66" t="inlineStr">
        <is>
          <t>À PARTIR DE QUOI ?</t>
        </is>
      </c>
      <c r="J8" s="41" t="n"/>
      <c r="K8" s="66" t="inlineStr">
        <is>
          <t>POUR QUI / PRODUIT QUOI ?</t>
        </is>
      </c>
      <c r="L8" s="41" t="n"/>
      <c r="M8" s="66" t="inlineStr">
        <is>
          <t>AVEC QUOI ? OÙ ?</t>
        </is>
      </c>
      <c r="N8" s="43" t="n"/>
      <c r="O8" s="41" t="n"/>
      <c r="P8" s="66" t="inlineStr">
        <is>
          <t>ET SI… ? / ENCHAÎNEMENT</t>
        </is>
      </c>
      <c r="Q8" s="43" t="n"/>
      <c r="R8" s="43" t="n"/>
      <c r="S8" s="41" t="n"/>
      <c r="T8" s="66" t="inlineStr">
        <is>
          <t>NIVEAU 3</t>
        </is>
      </c>
      <c r="U8" s="41" t="n"/>
      <c r="V8" s="66" t="inlineStr">
        <is>
          <t>MAÎTRISE</t>
        </is>
      </c>
      <c r="W8" s="43" t="n"/>
      <c r="X8" s="41" t="n"/>
      <c r="Y8" s="66" t="inlineStr">
        <is>
          <t>SUIVI</t>
        </is>
      </c>
      <c r="Z8" s="41" t="n"/>
    </row>
    <row r="9" ht="93.95" customHeight="1" s="63">
      <c r="A9" s="19" t="inlineStr">
        <is>
          <t>N°</t>
        </is>
      </c>
      <c r="B9" s="19" t="inlineStr">
        <is>
          <t>Étape / phase</t>
        </is>
      </c>
      <c r="C9" s="19" t="inlineStr">
        <is>
          <t>Opération
(verbe à l'infinitif + complément)</t>
        </is>
      </c>
      <c r="D9" s="19" t="inlineStr">
        <is>
          <t>Symbole Qualigramme</t>
        </is>
      </c>
      <c r="E9" s="19" t="inlineStr">
        <is>
          <t>Acteur responsable
(exécute — un seul)</t>
        </is>
      </c>
      <c r="F9" s="19" t="inlineStr">
        <is>
          <t>Autres acteurs
(participent / informés)</t>
        </is>
      </c>
      <c r="G9" s="19" t="inlineStr">
        <is>
          <t>Déclencheur / condition
(Quand ?)</t>
        </is>
      </c>
      <c r="H9" s="19" t="inlineStr">
        <is>
          <t>Délai / fréquence</t>
        </is>
      </c>
      <c r="I9" s="19" t="inlineStr">
        <is>
          <t>Éléments d'entrée
(informations, documents)</t>
        </is>
      </c>
      <c r="J9" s="19" t="inlineStr">
        <is>
          <t>Fournisseur
(émetteur)</t>
        </is>
      </c>
      <c r="K9" s="19" t="inlineStr">
        <is>
          <t>Éléments de sortie
(résultat, document produit)</t>
        </is>
      </c>
      <c r="L9" s="19" t="inlineStr">
        <is>
          <t>Client
(destinataire)</t>
        </is>
      </c>
      <c r="M9" s="19" t="inlineStr">
        <is>
          <t>Support / enregistrement</t>
        </is>
      </c>
      <c r="N9" s="19" t="inlineStr">
        <is>
          <t>Outils / moyens / applications</t>
        </is>
      </c>
      <c r="O9" s="19" t="inlineStr">
        <is>
          <t>Lieu</t>
        </is>
      </c>
      <c r="P9" s="19" t="inlineStr">
        <is>
          <t>Question de décision
(si « Ou »)</t>
        </is>
      </c>
      <c r="Q9" s="19" t="inlineStr">
        <is>
          <t>Si OUI → op. n°</t>
        </is>
      </c>
      <c r="R9" s="19" t="inlineStr">
        <is>
          <t>Si NON → op. n°</t>
        </is>
      </c>
      <c r="S9" s="19" t="inlineStr">
        <is>
          <t>Op. suivante</t>
        </is>
      </c>
      <c r="T9" s="19" t="inlineStr">
        <is>
          <t>À détailler en IT N3 ?</t>
        </is>
      </c>
      <c r="U9" s="19" t="inlineStr">
        <is>
          <t>Code IT</t>
        </is>
      </c>
      <c r="V9" s="19" t="inlineStr">
        <is>
          <t>Risque / dysfonctionnement possible</t>
        </is>
      </c>
      <c r="W9" s="19" t="inlineStr">
        <is>
          <t>Moyen de maîtrise / contrôle</t>
        </is>
      </c>
      <c r="X9" s="19" t="inlineStr">
        <is>
          <t>Indicateur associé</t>
        </is>
      </c>
      <c r="Y9" s="19" t="inlineStr">
        <is>
          <t>Commentaires / points à clarifier</t>
        </is>
      </c>
      <c r="Z9" s="19" t="inlineStr">
        <is>
          <t>Statut</t>
        </is>
      </c>
    </row>
    <row r="10" ht="93.95" customHeight="1" s="63">
      <c r="A10" s="20" t="n">
        <v>1</v>
      </c>
      <c r="B10" s="70" t="inlineStr">
        <is>
          <t>Besoin</t>
        </is>
      </c>
      <c r="C10" s="70" t="inlineStr">
        <is>
          <t>Recueillir le cahier des charges</t>
        </is>
      </c>
      <c r="D10" s="70" t="inlineStr">
        <is>
          <t>Instruction (tâche)</t>
        </is>
      </c>
      <c r="E10" s="70" t="inlineStr">
        <is>
          <t>Direction Administrative et Juridique (DAJ)</t>
        </is>
      </c>
      <c r="F10" s="70" t="inlineStr">
        <is>
          <t>Service demandeur (DG, Exploitation, Achats ou autre)</t>
        </is>
      </c>
      <c r="G10" s="70" t="inlineStr">
        <is>
          <t>Sollicitation par un service pour un contrat (transport, pièces de rechange, projet)</t>
        </is>
      </c>
      <c r="H10" s="21" t="n"/>
      <c r="I10" s="70" t="inlineStr">
        <is>
          <t>Demande de contrat</t>
        </is>
      </c>
      <c r="J10" s="70" t="inlineStr">
        <is>
          <t>Service demandeur (DG, Exploitation, Achats ou autre)</t>
        </is>
      </c>
      <c r="K10" s="70" t="inlineStr">
        <is>
          <t>Cahier des charges (éléments techniques et financiers)</t>
        </is>
      </c>
      <c r="L10" s="70" t="inlineStr">
        <is>
          <t>Direction Administrative et Juridique (DAJ)</t>
        </is>
      </c>
      <c r="M10" s="70" t="inlineStr">
        <is>
          <t>Cahier des charges</t>
        </is>
      </c>
      <c r="N10" s="70" t="inlineStr">
        <is>
          <t>Mail, réunion</t>
        </is>
      </c>
      <c r="O10" s="70" t="n"/>
      <c r="P10" s="70" t="n"/>
      <c r="Q10" s="21" t="n"/>
      <c r="R10" s="21" t="n"/>
      <c r="S10" s="21" t="inlineStr">
        <is>
          <t>2</t>
        </is>
      </c>
      <c r="T10" s="21" t="inlineStr">
        <is>
          <t>Non</t>
        </is>
      </c>
      <c r="U10" s="21" t="n"/>
      <c r="V10" s="70" t="inlineStr">
        <is>
          <t>Cahier des charges incomplet</t>
        </is>
      </c>
      <c r="W10" s="70" t="inlineStr">
        <is>
          <t>Éléments techniques obtenus du service demandeur</t>
        </is>
      </c>
      <c r="X10" s="70" t="n"/>
      <c r="Y10" s="70" t="n"/>
      <c r="Z10" s="21" t="inlineStr">
        <is>
          <t>À confirmer</t>
        </is>
      </c>
    </row>
    <row r="11" ht="78.95" customHeight="1" s="63">
      <c r="A11" s="20" t="n">
        <v>2</v>
      </c>
      <c r="B11" s="70" t="inlineStr">
        <is>
          <t>Rédaction</t>
        </is>
      </c>
      <c r="C11" s="70" t="inlineStr">
        <is>
          <t>Rédiger le contrat</t>
        </is>
      </c>
      <c r="D11" s="70" t="inlineStr">
        <is>
          <t>Instruction (tâche)</t>
        </is>
      </c>
      <c r="E11" s="70" t="inlineStr">
        <is>
          <t>Direction Administrative et Juridique (DAJ)</t>
        </is>
      </c>
      <c r="F11" s="70" t="inlineStr">
        <is>
          <t>Service demandeur (DG, Exploitation, Achats ou autre)</t>
        </is>
      </c>
      <c r="G11" s="70" t="inlineStr">
        <is>
          <t>Cahier des charges reçu</t>
        </is>
      </c>
      <c r="H11" s="21" t="n"/>
      <c r="I11" s="70" t="inlineStr">
        <is>
          <t>Cahier des charges</t>
        </is>
      </c>
      <c r="J11" s="70" t="inlineStr">
        <is>
          <t>Service demandeur (DG, Exploitation, Achats ou autre)</t>
        </is>
      </c>
      <c r="K11" s="70" t="inlineStr">
        <is>
          <t>Projet de contrat</t>
        </is>
      </c>
      <c r="L11" s="70" t="inlineStr">
        <is>
          <t>Client ou fournisseur</t>
        </is>
      </c>
      <c r="M11" s="70" t="inlineStr">
        <is>
          <t>Projet de contrat</t>
        </is>
      </c>
      <c r="N11" s="70" t="n"/>
      <c r="O11" s="70" t="n"/>
      <c r="P11" s="70" t="n"/>
      <c r="Q11" s="21" t="n"/>
      <c r="R11" s="21" t="n"/>
      <c r="S11" s="21" t="inlineStr">
        <is>
          <t>3</t>
        </is>
      </c>
      <c r="T11" s="21" t="inlineStr">
        <is>
          <t>Non</t>
        </is>
      </c>
      <c r="U11" s="21" t="n"/>
      <c r="V11" s="70" t="inlineStr">
        <is>
          <t>Clauses inadaptées</t>
        </is>
      </c>
      <c r="W11" s="70" t="inlineStr">
        <is>
          <t>Rédaction avec le service demandeur</t>
        </is>
      </c>
      <c r="X11" s="70" t="n"/>
      <c r="Y11" s="70" t="n"/>
      <c r="Z11" s="21" t="inlineStr">
        <is>
          <t>À confirmer</t>
        </is>
      </c>
    </row>
    <row r="12" ht="108.95" customHeight="1" s="63">
      <c r="A12" s="20" t="n">
        <v>3</v>
      </c>
      <c r="B12" s="70" t="inlineStr">
        <is>
          <t>Négociation</t>
        </is>
      </c>
      <c r="C12" s="70" t="inlineStr">
        <is>
          <t>Négocier le contrat</t>
        </is>
      </c>
      <c r="D12" s="70" t="inlineStr">
        <is>
          <t>Instruction (tâche)</t>
        </is>
      </c>
      <c r="E12" s="70" t="inlineStr">
        <is>
          <t>Direction Administrative et Juridique (DAJ)</t>
        </is>
      </c>
      <c r="F12" s="70" t="inlineStr">
        <is>
          <t>Service demandeur (DG, Exploitation, Achats ou autre)</t>
        </is>
      </c>
      <c r="G12" s="70" t="inlineStr">
        <is>
          <t>Projet transmis à l'autre partie</t>
        </is>
      </c>
      <c r="H12" s="21" t="n"/>
      <c r="I12" s="70" t="inlineStr">
        <is>
          <t>Projet de contrat, observations de l'autre partie</t>
        </is>
      </c>
      <c r="J12" s="70" t="inlineStr">
        <is>
          <t>Client ou fournisseur</t>
        </is>
      </c>
      <c r="K12" s="70" t="inlineStr">
        <is>
          <t>Version finale arrêtée</t>
        </is>
      </c>
      <c r="L12" s="70" t="inlineStr">
        <is>
          <t>Direction Administrative et Juridique (DAJ)</t>
        </is>
      </c>
      <c r="M12" s="70" t="inlineStr">
        <is>
          <t>Version finale</t>
        </is>
      </c>
      <c r="N12" s="70" t="inlineStr">
        <is>
          <t>Mail, réunion</t>
        </is>
      </c>
      <c r="O12" s="70" t="n"/>
      <c r="P12" s="70" t="n"/>
      <c r="Q12" s="21" t="n"/>
      <c r="R12" s="21" t="n"/>
      <c r="S12" s="21" t="inlineStr">
        <is>
          <t>4</t>
        </is>
      </c>
      <c r="T12" s="21" t="inlineStr">
        <is>
          <t>Non</t>
        </is>
      </c>
      <c r="U12" s="21" t="n"/>
      <c r="V12" s="70" t="inlineStr">
        <is>
          <t>Concessions non validées par le technique ou le commercial</t>
        </is>
      </c>
      <c r="W12" s="70" t="inlineStr">
        <is>
          <t>Le service demandeur est sollicité pour chaque modification</t>
        </is>
      </c>
      <c r="X12" s="70" t="n"/>
      <c r="Y12" s="70" t="inlineStr">
        <is>
          <t>DAJ interlocuteur unique du client ou du fournisseur</t>
        </is>
      </c>
      <c r="Z12" s="21" t="inlineStr">
        <is>
          <t>À confirmer</t>
        </is>
      </c>
    </row>
    <row r="13" ht="78.95" customHeight="1" s="63">
      <c r="A13" s="20" t="n">
        <v>4</v>
      </c>
      <c r="B13" s="70" t="inlineStr">
        <is>
          <t>Visa</t>
        </is>
      </c>
      <c r="C13" s="70" t="inlineStr">
        <is>
          <t>Viser le contrat</t>
        </is>
      </c>
      <c r="D13" s="70" t="inlineStr">
        <is>
          <t>Contrôle / Vérification</t>
        </is>
      </c>
      <c r="E13" s="70" t="inlineStr">
        <is>
          <t>Direction Administrative et Juridique (DAJ)</t>
        </is>
      </c>
      <c r="F13" s="70" t="n"/>
      <c r="G13" s="70" t="inlineStr">
        <is>
          <t>Version finale arrêtée</t>
        </is>
      </c>
      <c r="H13" s="21" t="n"/>
      <c r="I13" s="70" t="inlineStr">
        <is>
          <t>Version finale</t>
        </is>
      </c>
      <c r="J13" s="70" t="inlineStr">
        <is>
          <t>Direction Administrative et Juridique (DAJ)</t>
        </is>
      </c>
      <c r="K13" s="70" t="inlineStr">
        <is>
          <t>Contrat visé (cachet du DAJ sur les pages)</t>
        </is>
      </c>
      <c r="L13" s="70" t="inlineStr">
        <is>
          <t>Direction Générale</t>
        </is>
      </c>
      <c r="M13" s="70" t="inlineStr">
        <is>
          <t>Contrat visé</t>
        </is>
      </c>
      <c r="N13" s="70" t="inlineStr">
        <is>
          <t>Cachet de visa du DAJ</t>
        </is>
      </c>
      <c r="O13" s="70" t="n"/>
      <c r="P13" s="70" t="inlineStr">
        <is>
          <t>Le contrat est-il conforme et prêt à signer ?</t>
        </is>
      </c>
      <c r="Q13" s="21" t="n">
        <v>5</v>
      </c>
      <c r="R13" s="21" t="n">
        <v>3</v>
      </c>
      <c r="S13" s="21" t="inlineStr">
        <is>
          <t>5 ou 3</t>
        </is>
      </c>
      <c r="T13" s="21" t="inlineStr">
        <is>
          <t>Oui</t>
        </is>
      </c>
      <c r="U13" s="21" t="inlineStr">
        <is>
          <t>IT-JUR-03</t>
        </is>
      </c>
      <c r="V13" s="70" t="inlineStr">
        <is>
          <t>Contrat signé sans visa du DAJ</t>
        </is>
      </c>
      <c r="W13" s="70" t="inlineStr">
        <is>
          <t>La DG ne signe pas sans cachet du DAJ</t>
        </is>
      </c>
      <c r="X13" s="70" t="n"/>
      <c r="Y13" s="70" t="n"/>
      <c r="Z13" s="21" t="inlineStr">
        <is>
          <t>À confirmer</t>
        </is>
      </c>
    </row>
    <row r="14" ht="48.95" customHeight="1" s="63">
      <c r="A14" s="20" t="n">
        <v>5</v>
      </c>
      <c r="B14" s="70" t="inlineStr">
        <is>
          <t>Signature</t>
        </is>
      </c>
      <c r="C14" s="70" t="inlineStr">
        <is>
          <t>Signer le contrat</t>
        </is>
      </c>
      <c r="D14" s="70" t="inlineStr">
        <is>
          <t>Instruction (tâche)</t>
        </is>
      </c>
      <c r="E14" s="70" t="inlineStr">
        <is>
          <t>Direction Générale</t>
        </is>
      </c>
      <c r="F14" s="70" t="n"/>
      <c r="G14" s="70" t="inlineStr">
        <is>
          <t>Contrat visé reçu</t>
        </is>
      </c>
      <c r="H14" s="21" t="n"/>
      <c r="I14" s="70" t="inlineStr">
        <is>
          <t>Contrat visé</t>
        </is>
      </c>
      <c r="J14" s="70" t="inlineStr">
        <is>
          <t>Direction Administrative et Juridique (DAJ)</t>
        </is>
      </c>
      <c r="K14" s="70" t="inlineStr">
        <is>
          <t>Contrat signé par la DG</t>
        </is>
      </c>
      <c r="L14" s="70" t="inlineStr">
        <is>
          <t>Direction Administrative et Juridique (DAJ)</t>
        </is>
      </c>
      <c r="M14" s="70" t="inlineStr">
        <is>
          <t>Contrat signé</t>
        </is>
      </c>
      <c r="N14" s="70" t="n"/>
      <c r="O14" s="70" t="inlineStr">
        <is>
          <t>Siège</t>
        </is>
      </c>
      <c r="P14" s="70" t="n"/>
      <c r="Q14" s="21" t="n"/>
      <c r="R14" s="21" t="n"/>
      <c r="S14" s="21" t="inlineStr">
        <is>
          <t>6</t>
        </is>
      </c>
      <c r="T14" s="21" t="inlineStr">
        <is>
          <t>Non</t>
        </is>
      </c>
      <c r="U14" s="21" t="n"/>
      <c r="V14" s="70" t="inlineStr">
        <is>
          <t>Signature d'un contrat non conforme</t>
        </is>
      </c>
      <c r="W14" s="70" t="inlineStr">
        <is>
          <t>Visa préalable du DAJ</t>
        </is>
      </c>
      <c r="X14" s="70" t="n"/>
      <c r="Y14" s="70" t="n"/>
      <c r="Z14" s="21" t="inlineStr">
        <is>
          <t>À confirmer</t>
        </is>
      </c>
    </row>
    <row r="15" ht="78.95" customHeight="1" s="63">
      <c r="A15" s="20" t="n">
        <v>6</v>
      </c>
      <c r="B15" s="70" t="inlineStr">
        <is>
          <t>Diffusion</t>
        </is>
      </c>
      <c r="C15" s="70" t="inlineStr">
        <is>
          <t>Obtenir la contre-signature</t>
        </is>
      </c>
      <c r="D15" s="70" t="inlineStr">
        <is>
          <t>Instruction (tâche)</t>
        </is>
      </c>
      <c r="E15" s="70" t="inlineStr">
        <is>
          <t>Direction Administrative et Juridique (DAJ)</t>
        </is>
      </c>
      <c r="F15" s="70" t="inlineStr">
        <is>
          <t>Agent de dépôt interne</t>
        </is>
      </c>
      <c r="G15" s="70" t="inlineStr">
        <is>
          <t>Contrat signé par la DG</t>
        </is>
      </c>
      <c r="H15" s="21" t="n"/>
      <c r="I15" s="70" t="inlineStr">
        <is>
          <t>Contrat signé par la DG</t>
        </is>
      </c>
      <c r="J15" s="70" t="inlineStr">
        <is>
          <t>Direction Générale</t>
        </is>
      </c>
      <c r="K15" s="70" t="inlineStr">
        <is>
          <t>Contrat contresigné</t>
        </is>
      </c>
      <c r="L15" s="70" t="inlineStr">
        <is>
          <t>Direction Administrative et Juridique (DAJ)</t>
        </is>
      </c>
      <c r="M15" s="70" t="inlineStr">
        <is>
          <t>Contrat, fiche de décharge ou registre d'envoi (à créer)</t>
        </is>
      </c>
      <c r="N15" s="70" t="inlineStr">
        <is>
          <t>Remise physique en ville ; mail ou signature électronique hors du pays</t>
        </is>
      </c>
      <c r="O15" s="70" t="n"/>
      <c r="P15" s="70" t="n"/>
      <c r="Q15" s="21" t="n"/>
      <c r="R15" s="21" t="n"/>
      <c r="S15" s="21" t="inlineStr">
        <is>
          <t>7</t>
        </is>
      </c>
      <c r="T15" s="21" t="inlineStr">
        <is>
          <t>Non</t>
        </is>
      </c>
      <c r="U15" s="21" t="n"/>
      <c r="V15" s="70" t="inlineStr">
        <is>
          <t>Contrat envoyé sans preuve de remise</t>
        </is>
      </c>
      <c r="W15" s="70" t="inlineStr">
        <is>
          <t>Fiche de décharge ou registre des envois</t>
        </is>
      </c>
      <c r="X15" s="70" t="n"/>
      <c r="Y15" s="70" t="inlineStr">
        <is>
          <t>Ordre des signatures (autre partie avant ou après la DG) : à confirmer</t>
        </is>
      </c>
      <c r="Z15" s="21" t="inlineStr">
        <is>
          <t>À confirmer</t>
        </is>
      </c>
    </row>
    <row r="16" ht="78.95" customHeight="1" s="63">
      <c r="A16" s="20" t="n">
        <v>7</v>
      </c>
      <c r="B16" s="70" t="inlineStr">
        <is>
          <t>Archivage</t>
        </is>
      </c>
      <c r="C16" s="70" t="inlineStr">
        <is>
          <t>Archiver le contrat</t>
        </is>
      </c>
      <c r="D16" s="70" t="inlineStr">
        <is>
          <t>Instruction (tâche)</t>
        </is>
      </c>
      <c r="E16" s="70" t="inlineStr">
        <is>
          <t>Direction Administrative et Juridique (DAJ)</t>
        </is>
      </c>
      <c r="F16" s="70" t="n"/>
      <c r="G16" s="70" t="inlineStr">
        <is>
          <t>Contrat contresigné reçu</t>
        </is>
      </c>
      <c r="H16" s="21" t="n"/>
      <c r="I16" s="70" t="inlineStr">
        <is>
          <t>Contrat contresigné</t>
        </is>
      </c>
      <c r="J16" s="70" t="inlineStr">
        <is>
          <t>Client ou fournisseur</t>
        </is>
      </c>
      <c r="K16" s="70" t="inlineStr">
        <is>
          <t>Contrat archivé (chrono physique, copie scannée, fichier de suivi)</t>
        </is>
      </c>
      <c r="L16" s="70" t="inlineStr">
        <is>
          <t>Direction Administrative et Juridique (DAJ)</t>
        </is>
      </c>
      <c r="M16" s="70" t="inlineStr">
        <is>
          <t>Chrono papier, scan, fichier de suivi</t>
        </is>
      </c>
      <c r="N16" s="70" t="inlineStr">
        <is>
          <t>Fichier numérique de suivi</t>
        </is>
      </c>
      <c r="O16" s="70" t="inlineStr">
        <is>
          <t>DAJ</t>
        </is>
      </c>
      <c r="P16" s="70" t="n"/>
      <c r="Q16" s="21" t="n"/>
      <c r="R16" s="21" t="n"/>
      <c r="S16" s="21" t="inlineStr">
        <is>
          <t>8</t>
        </is>
      </c>
      <c r="T16" s="21" t="inlineStr">
        <is>
          <t>Non</t>
        </is>
      </c>
      <c r="U16" s="21" t="n"/>
      <c r="V16" s="70" t="inlineStr">
        <is>
          <t>Perte de l'original</t>
        </is>
      </c>
      <c r="W16" s="70" t="inlineStr">
        <is>
          <t>Archivage physique et numérique</t>
        </is>
      </c>
      <c r="X16" s="70" t="n"/>
      <c r="Y16" s="70" t="n"/>
      <c r="Z16" s="21" t="inlineStr">
        <is>
          <t>À confirmer</t>
        </is>
      </c>
    </row>
    <row r="17" ht="78.95" customHeight="1" s="63">
      <c r="A17" s="20" t="n">
        <v>8</v>
      </c>
      <c r="B17" s="70" t="inlineStr">
        <is>
          <t>Suivi</t>
        </is>
      </c>
      <c r="C17" s="70" t="inlineStr">
        <is>
          <t>Suivre les échéances des contrats</t>
        </is>
      </c>
      <c r="D17" s="70" t="inlineStr">
        <is>
          <t>Instruction (tâche)</t>
        </is>
      </c>
      <c r="E17" s="70" t="inlineStr">
        <is>
          <t>Direction Administrative et Juridique (DAJ)</t>
        </is>
      </c>
      <c r="F17" s="70" t="inlineStr">
        <is>
          <t>Service demandeur (DG, Exploitation, Achats ou autre)</t>
        </is>
      </c>
      <c r="G17" s="70" t="inlineStr">
        <is>
          <t>Échéance proche (2, 3 ou 6 mois selon le contrat)</t>
        </is>
      </c>
      <c r="H17" s="21" t="inlineStr">
        <is>
          <t>2, 3 ou 6 mois avant l'échéance</t>
        </is>
      </c>
      <c r="I17" s="70" t="inlineStr">
        <is>
          <t>Fichier de suivi des contrats</t>
        </is>
      </c>
      <c r="J17" s="70" t="inlineStr">
        <is>
          <t>Direction Administrative et Juridique (DAJ)</t>
        </is>
      </c>
      <c r="K17" s="70" t="inlineStr">
        <is>
          <t>Alerte de renouvellement</t>
        </is>
      </c>
      <c r="L17" s="70" t="inlineStr">
        <is>
          <t>Service demandeur (DG, Exploitation, Achats ou autre)</t>
        </is>
      </c>
      <c r="M17" s="70" t="inlineStr">
        <is>
          <t>Fichier de suivi</t>
        </is>
      </c>
      <c r="N17" s="70" t="inlineStr">
        <is>
          <t>Fichier numérique de suivi</t>
        </is>
      </c>
      <c r="O17" s="70" t="n"/>
      <c r="P17" s="70" t="n"/>
      <c r="Q17" s="21" t="n"/>
      <c r="R17" s="21" t="n"/>
      <c r="S17" s="21" t="inlineStr">
        <is>
          <t>9</t>
        </is>
      </c>
      <c r="T17" s="21" t="inlineStr">
        <is>
          <t>Non</t>
        </is>
      </c>
      <c r="U17" s="21" t="n"/>
      <c r="V17" s="70" t="inlineStr">
        <is>
          <t>Échéance oubliée</t>
        </is>
      </c>
      <c r="W17" s="70" t="inlineStr">
        <is>
          <t>Suivi du fichier ; assistance prévue à terme</t>
        </is>
      </c>
      <c r="X17" s="70" t="inlineStr">
        <is>
          <t>Contrats à renouveler</t>
        </is>
      </c>
      <c r="Y17" s="70" t="n"/>
      <c r="Z17" s="21" t="inlineStr">
        <is>
          <t>À confirmer</t>
        </is>
      </c>
    </row>
    <row r="18" ht="123.95" customHeight="1" s="63">
      <c r="A18" s="20" t="n">
        <v>9</v>
      </c>
      <c r="B18" s="70" t="inlineStr">
        <is>
          <t>Renouvellement</t>
        </is>
      </c>
      <c r="C18" s="70" t="inlineStr">
        <is>
          <t>Décider du renouvellement</t>
        </is>
      </c>
      <c r="D18" s="70" t="inlineStr">
        <is>
          <t>Contrôle / Vérification</t>
        </is>
      </c>
      <c r="E18" s="70" t="inlineStr">
        <is>
          <t>Direction Administrative et Juridique (DAJ)</t>
        </is>
      </c>
      <c r="F18" s="70" t="inlineStr">
        <is>
          <t>Service demandeur (DG, Exploitation, Achats ou autre), Direction Générale</t>
        </is>
      </c>
      <c r="G18" s="70" t="inlineStr">
        <is>
          <t>Alerte de renouvellement</t>
        </is>
      </c>
      <c r="H18" s="21" t="n"/>
      <c r="I18" s="70" t="inlineStr">
        <is>
          <t>Bilan de l'exécution de la période précédente (rentabilité)</t>
        </is>
      </c>
      <c r="J18" s="70" t="inlineStr">
        <is>
          <t>Service demandeur (DG, Exploitation, Achats ou autre)</t>
        </is>
      </c>
      <c r="K18" s="70" t="inlineStr">
        <is>
          <t>Renouvellement décidé</t>
        </is>
      </c>
      <c r="L18" s="70" t="inlineStr">
        <is>
          <t>Direction Générale</t>
        </is>
      </c>
      <c r="M18" s="70" t="inlineStr">
        <is>
          <t>Analyse de renouvellement</t>
        </is>
      </c>
      <c r="N18" s="70" t="n"/>
      <c r="O18" s="70" t="n"/>
      <c r="P18" s="70" t="inlineStr">
        <is>
          <t>Le contrat est-il renouvelé ?</t>
        </is>
      </c>
      <c r="Q18" s="21" t="n">
        <v>2</v>
      </c>
      <c r="R18" s="21" t="inlineStr">
        <is>
          <t>Fin</t>
        </is>
      </c>
      <c r="S18" s="21" t="inlineStr">
        <is>
          <t>2 ou Fin</t>
        </is>
      </c>
      <c r="T18" s="21" t="inlineStr">
        <is>
          <t>Non</t>
        </is>
      </c>
      <c r="U18" s="21" t="n"/>
      <c r="V18" s="70" t="inlineStr">
        <is>
          <t>Renouvellement à des conditions inadaptées</t>
        </is>
      </c>
      <c r="W18" s="70" t="inlineStr">
        <is>
          <t>Analyse avec le service compétent et la DG ; ajustements si besoin</t>
        </is>
      </c>
      <c r="X18" s="70" t="n"/>
      <c r="Y18" s="70" t="inlineStr">
        <is>
          <t>Oui : reprendre à la rédaction du renouvellement ou de l'avenant</t>
        </is>
      </c>
      <c r="Z18" s="21" t="inlineStr">
        <is>
          <t>À confirmer</t>
        </is>
      </c>
    </row>
    <row r="19" ht="18.95" customHeight="1" s="63">
      <c r="A19" s="20" t="n">
        <v>10</v>
      </c>
      <c r="B19" s="70" t="n"/>
      <c r="C19" s="70" t="n"/>
      <c r="D19" s="70" t="n"/>
      <c r="E19" s="70" t="n"/>
      <c r="F19" s="70" t="n"/>
      <c r="G19" s="70" t="n"/>
      <c r="H19" s="21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21" t="n"/>
      <c r="R19" s="21" t="n"/>
      <c r="S19" s="21" t="n"/>
      <c r="T19" s="21" t="n"/>
      <c r="U19" s="21" t="n"/>
      <c r="V19" s="70" t="n"/>
      <c r="W19" s="70" t="n"/>
      <c r="X19" s="70" t="n"/>
      <c r="Y19" s="70" t="n"/>
      <c r="Z19" s="21" t="n"/>
    </row>
    <row r="20" ht="18.95" customHeight="1" s="63">
      <c r="A20" s="20" t="n">
        <v>11</v>
      </c>
      <c r="B20" s="70" t="n"/>
      <c r="C20" s="70" t="n"/>
      <c r="D20" s="70" t="n"/>
      <c r="E20" s="70" t="n"/>
      <c r="F20" s="70" t="n"/>
      <c r="G20" s="70" t="n"/>
      <c r="H20" s="21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21" t="n"/>
      <c r="R20" s="21" t="n"/>
      <c r="S20" s="21" t="n"/>
      <c r="T20" s="21" t="n"/>
      <c r="U20" s="21" t="n"/>
      <c r="V20" s="70" t="n"/>
      <c r="W20" s="70" t="n"/>
      <c r="X20" s="70" t="n"/>
      <c r="Y20" s="70" t="n"/>
      <c r="Z20" s="21" t="n"/>
    </row>
    <row r="21" ht="18.95" customHeight="1" s="63">
      <c r="A21" s="20" t="n">
        <v>12</v>
      </c>
      <c r="B21" s="70" t="n"/>
      <c r="C21" s="70" t="n"/>
      <c r="D21" s="70" t="n"/>
      <c r="E21" s="70" t="n"/>
      <c r="F21" s="70" t="n"/>
      <c r="G21" s="70" t="n"/>
      <c r="H21" s="21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21" t="n"/>
      <c r="R21" s="21" t="n"/>
      <c r="S21" s="21" t="n"/>
      <c r="T21" s="21" t="n"/>
      <c r="U21" s="21" t="n"/>
      <c r="V21" s="70" t="n"/>
      <c r="W21" s="70" t="n"/>
      <c r="X21" s="70" t="n"/>
      <c r="Y21" s="70" t="n"/>
      <c r="Z21" s="21" t="n"/>
    </row>
    <row r="22" ht="18.95" customHeight="1" s="63">
      <c r="A22" s="20" t="n">
        <v>13</v>
      </c>
      <c r="B22" s="70" t="n"/>
      <c r="C22" s="70" t="n"/>
      <c r="D22" s="70" t="n"/>
      <c r="E22" s="70" t="n"/>
      <c r="F22" s="70" t="n"/>
      <c r="G22" s="70" t="n"/>
      <c r="H22" s="21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21" t="n"/>
      <c r="R22" s="21" t="n"/>
      <c r="S22" s="21" t="n"/>
      <c r="T22" s="21" t="n"/>
      <c r="U22" s="21" t="n"/>
      <c r="V22" s="70" t="n"/>
      <c r="W22" s="70" t="n"/>
      <c r="X22" s="70" t="n"/>
      <c r="Y22" s="70" t="n"/>
      <c r="Z22" s="21" t="n"/>
    </row>
    <row r="23" ht="18.95" customHeight="1" s="63">
      <c r="A23" s="20" t="n">
        <v>14</v>
      </c>
      <c r="B23" s="70" t="n"/>
      <c r="C23" s="70" t="n"/>
      <c r="D23" s="70" t="n"/>
      <c r="E23" s="70" t="n"/>
      <c r="F23" s="70" t="n"/>
      <c r="G23" s="70" t="n"/>
      <c r="H23" s="21" t="n"/>
      <c r="I23" s="70" t="n"/>
      <c r="J23" s="70" t="n"/>
      <c r="K23" s="70" t="n"/>
      <c r="L23" s="70" t="n"/>
      <c r="M23" s="70" t="n"/>
      <c r="N23" s="70" t="n"/>
      <c r="O23" s="70" t="n"/>
      <c r="P23" s="70" t="n"/>
      <c r="Q23" s="21" t="n"/>
      <c r="R23" s="21" t="n"/>
      <c r="S23" s="21" t="n"/>
      <c r="T23" s="21" t="n"/>
      <c r="U23" s="21" t="n"/>
      <c r="V23" s="70" t="n"/>
      <c r="W23" s="70" t="n"/>
      <c r="X23" s="70" t="n"/>
      <c r="Y23" s="70" t="n"/>
      <c r="Z23" s="21" t="n"/>
    </row>
    <row r="24" ht="18.95" customHeight="1" s="63">
      <c r="A24" s="20" t="n">
        <v>15</v>
      </c>
      <c r="B24" s="70" t="n"/>
      <c r="C24" s="70" t="n"/>
      <c r="D24" s="70" t="n"/>
      <c r="E24" s="70" t="n"/>
      <c r="F24" s="70" t="n"/>
      <c r="G24" s="70" t="n"/>
      <c r="H24" s="21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21" t="n"/>
      <c r="R24" s="21" t="n"/>
      <c r="S24" s="21" t="n"/>
      <c r="T24" s="21" t="n"/>
      <c r="U24" s="21" t="n"/>
      <c r="V24" s="70" t="n"/>
      <c r="W24" s="70" t="n"/>
      <c r="X24" s="70" t="n"/>
      <c r="Y24" s="70" t="n"/>
      <c r="Z24" s="21" t="n"/>
    </row>
    <row r="25" ht="18.95" customHeight="1" s="63">
      <c r="A25" s="20" t="n">
        <v>16</v>
      </c>
      <c r="B25" s="70" t="n"/>
      <c r="C25" s="70" t="n"/>
      <c r="D25" s="70" t="n"/>
      <c r="E25" s="70" t="n"/>
      <c r="F25" s="70" t="n"/>
      <c r="G25" s="70" t="n"/>
      <c r="H25" s="21" t="n"/>
      <c r="I25" s="70" t="n"/>
      <c r="J25" s="70" t="n"/>
      <c r="K25" s="70" t="n"/>
      <c r="L25" s="70" t="n"/>
      <c r="M25" s="70" t="n"/>
      <c r="N25" s="70" t="n"/>
      <c r="O25" s="70" t="n"/>
      <c r="P25" s="70" t="n"/>
      <c r="Q25" s="21" t="n"/>
      <c r="R25" s="21" t="n"/>
      <c r="S25" s="21" t="n"/>
      <c r="T25" s="21" t="n"/>
      <c r="U25" s="21" t="n"/>
      <c r="V25" s="70" t="n"/>
      <c r="W25" s="70" t="n"/>
      <c r="X25" s="70" t="n"/>
      <c r="Y25" s="70" t="n"/>
      <c r="Z25" s="21" t="n"/>
    </row>
    <row r="26" ht="18.95" customHeight="1" s="63">
      <c r="A26" s="20" t="n">
        <v>17</v>
      </c>
      <c r="B26" s="70" t="n"/>
      <c r="C26" s="70" t="n"/>
      <c r="D26" s="70" t="n"/>
      <c r="E26" s="70" t="n"/>
      <c r="F26" s="70" t="n"/>
      <c r="G26" s="70" t="n"/>
      <c r="H26" s="21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21" t="n"/>
      <c r="R26" s="21" t="n"/>
      <c r="S26" s="21" t="n"/>
      <c r="T26" s="21" t="n"/>
      <c r="U26" s="21" t="n"/>
      <c r="V26" s="70" t="n"/>
      <c r="W26" s="70" t="n"/>
      <c r="X26" s="70" t="n"/>
      <c r="Y26" s="70" t="n"/>
      <c r="Z26" s="21" t="n"/>
    </row>
    <row r="27" ht="18.95" customHeight="1" s="63">
      <c r="A27" s="20" t="n">
        <v>18</v>
      </c>
      <c r="B27" s="70" t="n"/>
      <c r="C27" s="70" t="n"/>
      <c r="D27" s="70" t="n"/>
      <c r="E27" s="70" t="n"/>
      <c r="F27" s="70" t="n"/>
      <c r="G27" s="70" t="n"/>
      <c r="H27" s="21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21" t="n"/>
      <c r="R27" s="21" t="n"/>
      <c r="S27" s="21" t="n"/>
      <c r="T27" s="21" t="n"/>
      <c r="U27" s="21" t="n"/>
      <c r="V27" s="70" t="n"/>
      <c r="W27" s="70" t="n"/>
      <c r="X27" s="70" t="n"/>
      <c r="Y27" s="70" t="n"/>
      <c r="Z27" s="21" t="n"/>
    </row>
    <row r="28" ht="18.95" customHeight="1" s="63">
      <c r="A28" s="20" t="n">
        <v>19</v>
      </c>
      <c r="B28" s="70" t="n"/>
      <c r="C28" s="70" t="n"/>
      <c r="D28" s="70" t="n"/>
      <c r="E28" s="70" t="n"/>
      <c r="F28" s="70" t="n"/>
      <c r="G28" s="70" t="n"/>
      <c r="H28" s="21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21" t="n"/>
      <c r="R28" s="21" t="n"/>
      <c r="S28" s="21" t="n"/>
      <c r="T28" s="21" t="n"/>
      <c r="U28" s="21" t="n"/>
      <c r="V28" s="70" t="n"/>
      <c r="W28" s="70" t="n"/>
      <c r="X28" s="70" t="n"/>
      <c r="Y28" s="70" t="n"/>
      <c r="Z28" s="21" t="n"/>
    </row>
    <row r="29" ht="18.95" customHeight="1" s="63">
      <c r="A29" s="20" t="n">
        <v>20</v>
      </c>
      <c r="B29" s="70" t="n"/>
      <c r="C29" s="70" t="n"/>
      <c r="D29" s="70" t="n"/>
      <c r="E29" s="70" t="n"/>
      <c r="F29" s="70" t="n"/>
      <c r="G29" s="70" t="n"/>
      <c r="H29" s="21" t="n"/>
      <c r="I29" s="70" t="n"/>
      <c r="J29" s="70" t="n"/>
      <c r="K29" s="70" t="n"/>
      <c r="L29" s="70" t="n"/>
      <c r="M29" s="70" t="n"/>
      <c r="N29" s="70" t="n"/>
      <c r="O29" s="70" t="n"/>
      <c r="P29" s="70" t="n"/>
      <c r="Q29" s="21" t="n"/>
      <c r="R29" s="21" t="n"/>
      <c r="S29" s="21" t="n"/>
      <c r="T29" s="21" t="n"/>
      <c r="U29" s="21" t="n"/>
      <c r="V29" s="70" t="n"/>
      <c r="W29" s="70" t="n"/>
      <c r="X29" s="70" t="n"/>
      <c r="Y29" s="70" t="n"/>
      <c r="Z29" s="21" t="n"/>
    </row>
    <row r="30" ht="18.95" customHeight="1" s="63">
      <c r="A30" s="20" t="n">
        <v>21</v>
      </c>
      <c r="B30" s="70" t="n"/>
      <c r="C30" s="70" t="n"/>
      <c r="D30" s="70" t="n"/>
      <c r="E30" s="70" t="n"/>
      <c r="F30" s="70" t="n"/>
      <c r="G30" s="70" t="n"/>
      <c r="H30" s="21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21" t="n"/>
      <c r="R30" s="21" t="n"/>
      <c r="S30" s="21" t="n"/>
      <c r="T30" s="21" t="n"/>
      <c r="U30" s="21" t="n"/>
      <c r="V30" s="70" t="n"/>
      <c r="W30" s="70" t="n"/>
      <c r="X30" s="70" t="n"/>
      <c r="Y30" s="70" t="n"/>
      <c r="Z30" s="21" t="n"/>
    </row>
    <row r="31" ht="18.95" customHeight="1" s="63">
      <c r="A31" s="20" t="n">
        <v>22</v>
      </c>
      <c r="B31" s="70" t="n"/>
      <c r="C31" s="70" t="n"/>
      <c r="D31" s="70" t="n"/>
      <c r="E31" s="70" t="n"/>
      <c r="F31" s="70" t="n"/>
      <c r="G31" s="70" t="n"/>
      <c r="H31" s="21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21" t="n"/>
      <c r="R31" s="21" t="n"/>
      <c r="S31" s="21" t="n"/>
      <c r="T31" s="21" t="n"/>
      <c r="U31" s="21" t="n"/>
      <c r="V31" s="70" t="n"/>
      <c r="W31" s="70" t="n"/>
      <c r="X31" s="70" t="n"/>
      <c r="Y31" s="70" t="n"/>
      <c r="Z31" s="21" t="n"/>
    </row>
    <row r="32" ht="18.95" customHeight="1" s="63">
      <c r="A32" s="20" t="n">
        <v>23</v>
      </c>
      <c r="B32" s="70" t="n"/>
      <c r="C32" s="70" t="n"/>
      <c r="D32" s="70" t="n"/>
      <c r="E32" s="70" t="n"/>
      <c r="F32" s="70" t="n"/>
      <c r="G32" s="70" t="n"/>
      <c r="H32" s="21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21" t="n"/>
      <c r="R32" s="21" t="n"/>
      <c r="S32" s="21" t="n"/>
      <c r="T32" s="21" t="n"/>
      <c r="U32" s="21" t="n"/>
      <c r="V32" s="70" t="n"/>
      <c r="W32" s="70" t="n"/>
      <c r="X32" s="70" t="n"/>
      <c r="Y32" s="70" t="n"/>
      <c r="Z32" s="21" t="n"/>
    </row>
    <row r="33" ht="18.95" customHeight="1" s="63">
      <c r="A33" s="20" t="n">
        <v>24</v>
      </c>
      <c r="B33" s="70" t="n"/>
      <c r="C33" s="70" t="n"/>
      <c r="D33" s="70" t="n"/>
      <c r="E33" s="70" t="n"/>
      <c r="F33" s="70" t="n"/>
      <c r="G33" s="70" t="n"/>
      <c r="H33" s="21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21" t="n"/>
      <c r="R33" s="21" t="n"/>
      <c r="S33" s="21" t="n"/>
      <c r="T33" s="21" t="n"/>
      <c r="U33" s="21" t="n"/>
      <c r="V33" s="70" t="n"/>
      <c r="W33" s="70" t="n"/>
      <c r="X33" s="70" t="n"/>
      <c r="Y33" s="70" t="n"/>
      <c r="Z33" s="21" t="n"/>
    </row>
    <row r="34" ht="18.95" customHeight="1" s="63">
      <c r="A34" s="20" t="n">
        <v>25</v>
      </c>
      <c r="B34" s="70" t="n"/>
      <c r="C34" s="70" t="n"/>
      <c r="D34" s="70" t="n"/>
      <c r="E34" s="70" t="n"/>
      <c r="F34" s="70" t="n"/>
      <c r="G34" s="70" t="n"/>
      <c r="H34" s="21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21" t="n"/>
      <c r="R34" s="21" t="n"/>
      <c r="S34" s="21" t="n"/>
      <c r="T34" s="21" t="n"/>
      <c r="U34" s="21" t="n"/>
      <c r="V34" s="70" t="n"/>
      <c r="W34" s="70" t="n"/>
      <c r="X34" s="70" t="n"/>
      <c r="Y34" s="70" t="n"/>
      <c r="Z34" s="21" t="n"/>
    </row>
    <row r="35" ht="18.95" customHeight="1" s="63">
      <c r="A35" s="20" t="n">
        <v>26</v>
      </c>
      <c r="B35" s="70" t="n"/>
      <c r="C35" s="70" t="n"/>
      <c r="D35" s="70" t="n"/>
      <c r="E35" s="70" t="n"/>
      <c r="F35" s="70" t="n"/>
      <c r="G35" s="70" t="n"/>
      <c r="H35" s="21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21" t="n"/>
      <c r="R35" s="21" t="n"/>
      <c r="S35" s="21" t="n"/>
      <c r="T35" s="21" t="n"/>
      <c r="U35" s="21" t="n"/>
      <c r="V35" s="70" t="n"/>
      <c r="W35" s="70" t="n"/>
      <c r="X35" s="70" t="n"/>
      <c r="Y35" s="70" t="n"/>
      <c r="Z35" s="21" t="n"/>
    </row>
    <row r="36" ht="18.95" customHeight="1" s="63">
      <c r="A36" s="20" t="n">
        <v>27</v>
      </c>
      <c r="B36" s="70" t="n"/>
      <c r="C36" s="70" t="n"/>
      <c r="D36" s="70" t="n"/>
      <c r="E36" s="70" t="n"/>
      <c r="F36" s="70" t="n"/>
      <c r="G36" s="70" t="n"/>
      <c r="H36" s="21" t="n"/>
      <c r="I36" s="70" t="n"/>
      <c r="J36" s="70" t="n"/>
      <c r="K36" s="70" t="n"/>
      <c r="L36" s="70" t="n"/>
      <c r="M36" s="70" t="n"/>
      <c r="N36" s="70" t="n"/>
      <c r="O36" s="70" t="n"/>
      <c r="P36" s="70" t="n"/>
      <c r="Q36" s="21" t="n"/>
      <c r="R36" s="21" t="n"/>
      <c r="S36" s="21" t="n"/>
      <c r="T36" s="21" t="n"/>
      <c r="U36" s="21" t="n"/>
      <c r="V36" s="70" t="n"/>
      <c r="W36" s="70" t="n"/>
      <c r="X36" s="70" t="n"/>
      <c r="Y36" s="70" t="n"/>
      <c r="Z36" s="21" t="n"/>
    </row>
    <row r="37" ht="18.95" customHeight="1" s="63">
      <c r="A37" s="20" t="n">
        <v>28</v>
      </c>
      <c r="B37" s="70" t="n"/>
      <c r="C37" s="70" t="n"/>
      <c r="D37" s="70" t="n"/>
      <c r="E37" s="70" t="n"/>
      <c r="F37" s="70" t="n"/>
      <c r="G37" s="70" t="n"/>
      <c r="H37" s="21" t="n"/>
      <c r="I37" s="70" t="n"/>
      <c r="J37" s="70" t="n"/>
      <c r="K37" s="70" t="n"/>
      <c r="L37" s="70" t="n"/>
      <c r="M37" s="70" t="n"/>
      <c r="N37" s="70" t="n"/>
      <c r="O37" s="70" t="n"/>
      <c r="P37" s="70" t="n"/>
      <c r="Q37" s="21" t="n"/>
      <c r="R37" s="21" t="n"/>
      <c r="S37" s="21" t="n"/>
      <c r="T37" s="21" t="n"/>
      <c r="U37" s="21" t="n"/>
      <c r="V37" s="70" t="n"/>
      <c r="W37" s="70" t="n"/>
      <c r="X37" s="70" t="n"/>
      <c r="Y37" s="70" t="n"/>
      <c r="Z37" s="21" t="n"/>
    </row>
    <row r="38" ht="18.95" customHeight="1" s="63">
      <c r="A38" s="20" t="n">
        <v>29</v>
      </c>
      <c r="B38" s="70" t="n"/>
      <c r="C38" s="70" t="n"/>
      <c r="D38" s="70" t="n"/>
      <c r="E38" s="70" t="n"/>
      <c r="F38" s="70" t="n"/>
      <c r="G38" s="70" t="n"/>
      <c r="H38" s="21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21" t="n"/>
      <c r="R38" s="21" t="n"/>
      <c r="S38" s="21" t="n"/>
      <c r="T38" s="21" t="n"/>
      <c r="U38" s="21" t="n"/>
      <c r="V38" s="70" t="n"/>
      <c r="W38" s="70" t="n"/>
      <c r="X38" s="70" t="n"/>
      <c r="Y38" s="70" t="n"/>
      <c r="Z38" s="21" t="n"/>
    </row>
    <row r="39" ht="18.95" customHeight="1" s="63">
      <c r="A39" s="20" t="n">
        <v>30</v>
      </c>
      <c r="B39" s="70" t="n"/>
      <c r="C39" s="70" t="n"/>
      <c r="D39" s="70" t="n"/>
      <c r="E39" s="70" t="n"/>
      <c r="F39" s="70" t="n"/>
      <c r="G39" s="70" t="n"/>
      <c r="H39" s="21" t="n"/>
      <c r="I39" s="70" t="n"/>
      <c r="J39" s="70" t="n"/>
      <c r="K39" s="70" t="n"/>
      <c r="L39" s="70" t="n"/>
      <c r="M39" s="70" t="n"/>
      <c r="N39" s="70" t="n"/>
      <c r="O39" s="70" t="n"/>
      <c r="P39" s="70" t="n"/>
      <c r="Q39" s="21" t="n"/>
      <c r="R39" s="21" t="n"/>
      <c r="S39" s="21" t="n"/>
      <c r="T39" s="21" t="n"/>
      <c r="U39" s="21" t="n"/>
      <c r="V39" s="70" t="n"/>
      <c r="W39" s="70" t="n"/>
      <c r="X39" s="70" t="n"/>
      <c r="Y39" s="70" t="n"/>
      <c r="Z39" s="21" t="n"/>
    </row>
    <row r="40" ht="18.95" customHeight="1" s="63">
      <c r="A40" s="20" t="n">
        <v>31</v>
      </c>
      <c r="B40" s="70" t="n"/>
      <c r="C40" s="70" t="n"/>
      <c r="D40" s="70" t="n"/>
      <c r="E40" s="70" t="n"/>
      <c r="F40" s="70" t="n"/>
      <c r="G40" s="70" t="n"/>
      <c r="H40" s="21" t="n"/>
      <c r="I40" s="70" t="n"/>
      <c r="J40" s="70" t="n"/>
      <c r="K40" s="70" t="n"/>
      <c r="L40" s="70" t="n"/>
      <c r="M40" s="70" t="n"/>
      <c r="N40" s="70" t="n"/>
      <c r="O40" s="70" t="n"/>
      <c r="P40" s="70" t="n"/>
      <c r="Q40" s="21" t="n"/>
      <c r="R40" s="21" t="n"/>
      <c r="S40" s="21" t="n"/>
      <c r="T40" s="21" t="n"/>
      <c r="U40" s="21" t="n"/>
      <c r="V40" s="70" t="n"/>
      <c r="W40" s="70" t="n"/>
      <c r="X40" s="70" t="n"/>
      <c r="Y40" s="70" t="n"/>
      <c r="Z40" s="21" t="n"/>
    </row>
    <row r="41" ht="18.95" customHeight="1" s="63">
      <c r="A41" s="20" t="n">
        <v>32</v>
      </c>
      <c r="B41" s="70" t="n"/>
      <c r="C41" s="70" t="n"/>
      <c r="D41" s="70" t="n"/>
      <c r="E41" s="70" t="n"/>
      <c r="F41" s="70" t="n"/>
      <c r="G41" s="70" t="n"/>
      <c r="H41" s="21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21" t="n"/>
      <c r="R41" s="21" t="n"/>
      <c r="S41" s="21" t="n"/>
      <c r="T41" s="21" t="n"/>
      <c r="U41" s="21" t="n"/>
      <c r="V41" s="70" t="n"/>
      <c r="W41" s="70" t="n"/>
      <c r="X41" s="70" t="n"/>
      <c r="Y41" s="70" t="n"/>
      <c r="Z41" s="21" t="n"/>
    </row>
    <row r="42" ht="18.95" customHeight="1" s="63">
      <c r="A42" s="20" t="n">
        <v>33</v>
      </c>
      <c r="B42" s="70" t="n"/>
      <c r="C42" s="70" t="n"/>
      <c r="D42" s="70" t="n"/>
      <c r="E42" s="70" t="n"/>
      <c r="F42" s="70" t="n"/>
      <c r="G42" s="70" t="n"/>
      <c r="H42" s="21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21" t="n"/>
      <c r="R42" s="21" t="n"/>
      <c r="S42" s="21" t="n"/>
      <c r="T42" s="21" t="n"/>
      <c r="U42" s="21" t="n"/>
      <c r="V42" s="70" t="n"/>
      <c r="W42" s="70" t="n"/>
      <c r="X42" s="70" t="n"/>
      <c r="Y42" s="70" t="n"/>
      <c r="Z42" s="21" t="n"/>
    </row>
    <row r="43" ht="18.95" customHeight="1" s="63">
      <c r="A43" s="20" t="n">
        <v>34</v>
      </c>
      <c r="B43" s="70" t="n"/>
      <c r="C43" s="70" t="n"/>
      <c r="D43" s="70" t="n"/>
      <c r="E43" s="70" t="n"/>
      <c r="F43" s="70" t="n"/>
      <c r="G43" s="70" t="n"/>
      <c r="H43" s="21" t="n"/>
      <c r="I43" s="70" t="n"/>
      <c r="J43" s="70" t="n"/>
      <c r="K43" s="70" t="n"/>
      <c r="L43" s="70" t="n"/>
      <c r="M43" s="70" t="n"/>
      <c r="N43" s="70" t="n"/>
      <c r="O43" s="70" t="n"/>
      <c r="P43" s="70" t="n"/>
      <c r="Q43" s="21" t="n"/>
      <c r="R43" s="21" t="n"/>
      <c r="S43" s="21" t="n"/>
      <c r="T43" s="21" t="n"/>
      <c r="U43" s="21" t="n"/>
      <c r="V43" s="70" t="n"/>
      <c r="W43" s="70" t="n"/>
      <c r="X43" s="70" t="n"/>
      <c r="Y43" s="70" t="n"/>
      <c r="Z43" s="21" t="n"/>
    </row>
    <row r="44" ht="18.95" customHeight="1" s="63">
      <c r="A44" s="20" t="n">
        <v>35</v>
      </c>
      <c r="B44" s="70" t="n"/>
      <c r="C44" s="70" t="n"/>
      <c r="D44" s="70" t="n"/>
      <c r="E44" s="70" t="n"/>
      <c r="F44" s="70" t="n"/>
      <c r="G44" s="70" t="n"/>
      <c r="H44" s="21" t="n"/>
      <c r="I44" s="70" t="n"/>
      <c r="J44" s="70" t="n"/>
      <c r="K44" s="70" t="n"/>
      <c r="L44" s="70" t="n"/>
      <c r="M44" s="70" t="n"/>
      <c r="N44" s="70" t="n"/>
      <c r="O44" s="70" t="n"/>
      <c r="P44" s="70" t="n"/>
      <c r="Q44" s="21" t="n"/>
      <c r="R44" s="21" t="n"/>
      <c r="S44" s="21" t="n"/>
      <c r="T44" s="21" t="n"/>
      <c r="U44" s="21" t="n"/>
      <c r="V44" s="70" t="n"/>
      <c r="W44" s="70" t="n"/>
      <c r="X44" s="70" t="n"/>
      <c r="Y44" s="70" t="n"/>
      <c r="Z44" s="21" t="n"/>
    </row>
    <row r="45" ht="18.95" customHeight="1" s="63">
      <c r="A45" s="20" t="n">
        <v>36</v>
      </c>
      <c r="B45" s="70" t="n"/>
      <c r="C45" s="70" t="n"/>
      <c r="D45" s="70" t="n"/>
      <c r="E45" s="70" t="n"/>
      <c r="F45" s="70" t="n"/>
      <c r="G45" s="70" t="n"/>
      <c r="H45" s="21" t="n"/>
      <c r="I45" s="70" t="n"/>
      <c r="J45" s="70" t="n"/>
      <c r="K45" s="70" t="n"/>
      <c r="L45" s="70" t="n"/>
      <c r="M45" s="70" t="n"/>
      <c r="N45" s="70" t="n"/>
      <c r="O45" s="70" t="n"/>
      <c r="P45" s="70" t="n"/>
      <c r="Q45" s="21" t="n"/>
      <c r="R45" s="21" t="n"/>
      <c r="S45" s="21" t="n"/>
      <c r="T45" s="21" t="n"/>
      <c r="U45" s="21" t="n"/>
      <c r="V45" s="70" t="n"/>
      <c r="W45" s="70" t="n"/>
      <c r="X45" s="70" t="n"/>
      <c r="Y45" s="70" t="n"/>
      <c r="Z45" s="21" t="n"/>
    </row>
    <row r="46" ht="18.95" customHeight="1" s="63">
      <c r="A46" s="20" t="n">
        <v>37</v>
      </c>
      <c r="B46" s="70" t="n"/>
      <c r="C46" s="70" t="n"/>
      <c r="D46" s="70" t="n"/>
      <c r="E46" s="70" t="n"/>
      <c r="F46" s="70" t="n"/>
      <c r="G46" s="70" t="n"/>
      <c r="H46" s="21" t="n"/>
      <c r="I46" s="70" t="n"/>
      <c r="J46" s="70" t="n"/>
      <c r="K46" s="70" t="n"/>
      <c r="L46" s="70" t="n"/>
      <c r="M46" s="70" t="n"/>
      <c r="N46" s="70" t="n"/>
      <c r="O46" s="70" t="n"/>
      <c r="P46" s="70" t="n"/>
      <c r="Q46" s="21" t="n"/>
      <c r="R46" s="21" t="n"/>
      <c r="S46" s="21" t="n"/>
      <c r="T46" s="21" t="n"/>
      <c r="U46" s="21" t="n"/>
      <c r="V46" s="70" t="n"/>
      <c r="W46" s="70" t="n"/>
      <c r="X46" s="70" t="n"/>
      <c r="Y46" s="70" t="n"/>
      <c r="Z46" s="21" t="n"/>
    </row>
    <row r="47" ht="18.95" customHeight="1" s="63">
      <c r="A47" s="20" t="n">
        <v>38</v>
      </c>
      <c r="B47" s="70" t="n"/>
      <c r="C47" s="70" t="n"/>
      <c r="D47" s="70" t="n"/>
      <c r="E47" s="70" t="n"/>
      <c r="F47" s="70" t="n"/>
      <c r="G47" s="70" t="n"/>
      <c r="H47" s="21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21" t="n"/>
      <c r="R47" s="21" t="n"/>
      <c r="S47" s="21" t="n"/>
      <c r="T47" s="21" t="n"/>
      <c r="U47" s="21" t="n"/>
      <c r="V47" s="70" t="n"/>
      <c r="W47" s="70" t="n"/>
      <c r="X47" s="70" t="n"/>
      <c r="Y47" s="70" t="n"/>
      <c r="Z47" s="21" t="n"/>
    </row>
    <row r="48" ht="18.95" customHeight="1" s="63">
      <c r="A48" s="20" t="n">
        <v>39</v>
      </c>
      <c r="B48" s="70" t="n"/>
      <c r="C48" s="70" t="n"/>
      <c r="D48" s="70" t="n"/>
      <c r="E48" s="70" t="n"/>
      <c r="F48" s="70" t="n"/>
      <c r="G48" s="70" t="n"/>
      <c r="H48" s="21" t="n"/>
      <c r="I48" s="70" t="n"/>
      <c r="J48" s="70" t="n"/>
      <c r="K48" s="70" t="n"/>
      <c r="L48" s="70" t="n"/>
      <c r="M48" s="70" t="n"/>
      <c r="N48" s="70" t="n"/>
      <c r="O48" s="70" t="n"/>
      <c r="P48" s="70" t="n"/>
      <c r="Q48" s="21" t="n"/>
      <c r="R48" s="21" t="n"/>
      <c r="S48" s="21" t="n"/>
      <c r="T48" s="21" t="n"/>
      <c r="U48" s="21" t="n"/>
      <c r="V48" s="70" t="n"/>
      <c r="W48" s="70" t="n"/>
      <c r="X48" s="70" t="n"/>
      <c r="Y48" s="70" t="n"/>
      <c r="Z48" s="21" t="n"/>
    </row>
    <row r="49" ht="18.95" customHeight="1" s="63">
      <c r="A49" s="20" t="n">
        <v>40</v>
      </c>
      <c r="B49" s="70" t="n"/>
      <c r="C49" s="70" t="n"/>
      <c r="D49" s="70" t="n"/>
      <c r="E49" s="70" t="n"/>
      <c r="F49" s="70" t="n"/>
      <c r="G49" s="70" t="n"/>
      <c r="H49" s="21" t="n"/>
      <c r="I49" s="70" t="n"/>
      <c r="J49" s="70" t="n"/>
      <c r="K49" s="70" t="n"/>
      <c r="L49" s="70" t="n"/>
      <c r="M49" s="70" t="n"/>
      <c r="N49" s="70" t="n"/>
      <c r="O49" s="70" t="n"/>
      <c r="P49" s="70" t="n"/>
      <c r="Q49" s="21" t="n"/>
      <c r="R49" s="21" t="n"/>
      <c r="S49" s="21" t="n"/>
      <c r="T49" s="21" t="n"/>
      <c r="U49" s="21" t="n"/>
      <c r="V49" s="70" t="n"/>
      <c r="W49" s="70" t="n"/>
      <c r="X49" s="70" t="n"/>
      <c r="Y49" s="70" t="n"/>
      <c r="Z49" s="21" t="n"/>
    </row>
    <row r="50" ht="18.95" customHeight="1" s="63">
      <c r="A50" s="20" t="n">
        <v>41</v>
      </c>
      <c r="B50" s="70" t="n"/>
      <c r="C50" s="70" t="n"/>
      <c r="D50" s="70" t="n"/>
      <c r="E50" s="70" t="n"/>
      <c r="F50" s="70" t="n"/>
      <c r="G50" s="70" t="n"/>
      <c r="H50" s="21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21" t="n"/>
      <c r="R50" s="21" t="n"/>
      <c r="S50" s="21" t="n"/>
      <c r="T50" s="21" t="n"/>
      <c r="U50" s="21" t="n"/>
      <c r="V50" s="70" t="n"/>
      <c r="W50" s="70" t="n"/>
      <c r="X50" s="70" t="n"/>
      <c r="Y50" s="70" t="n"/>
      <c r="Z50" s="21" t="n"/>
    </row>
    <row r="51" ht="18.95" customHeight="1" s="63">
      <c r="A51" s="20" t="n">
        <v>42</v>
      </c>
      <c r="B51" s="70" t="n"/>
      <c r="C51" s="70" t="n"/>
      <c r="D51" s="70" t="n"/>
      <c r="E51" s="70" t="n"/>
      <c r="F51" s="70" t="n"/>
      <c r="G51" s="70" t="n"/>
      <c r="H51" s="21" t="n"/>
      <c r="I51" s="70" t="n"/>
      <c r="J51" s="70" t="n"/>
      <c r="K51" s="70" t="n"/>
      <c r="L51" s="70" t="n"/>
      <c r="M51" s="70" t="n"/>
      <c r="N51" s="70" t="n"/>
      <c r="O51" s="70" t="n"/>
      <c r="P51" s="70" t="n"/>
      <c r="Q51" s="21" t="n"/>
      <c r="R51" s="21" t="n"/>
      <c r="S51" s="21" t="n"/>
      <c r="T51" s="21" t="n"/>
      <c r="U51" s="21" t="n"/>
      <c r="V51" s="70" t="n"/>
      <c r="W51" s="70" t="n"/>
      <c r="X51" s="70" t="n"/>
      <c r="Y51" s="70" t="n"/>
      <c r="Z51" s="21" t="n"/>
    </row>
    <row r="52" ht="18.95" customHeight="1" s="63">
      <c r="A52" s="20" t="n">
        <v>43</v>
      </c>
      <c r="B52" s="70" t="n"/>
      <c r="C52" s="70" t="n"/>
      <c r="D52" s="70" t="n"/>
      <c r="E52" s="70" t="n"/>
      <c r="F52" s="70" t="n"/>
      <c r="G52" s="70" t="n"/>
      <c r="H52" s="21" t="n"/>
      <c r="I52" s="70" t="n"/>
      <c r="J52" s="70" t="n"/>
      <c r="K52" s="70" t="n"/>
      <c r="L52" s="70" t="n"/>
      <c r="M52" s="70" t="n"/>
      <c r="N52" s="70" t="n"/>
      <c r="O52" s="70" t="n"/>
      <c r="P52" s="70" t="n"/>
      <c r="Q52" s="21" t="n"/>
      <c r="R52" s="21" t="n"/>
      <c r="S52" s="21" t="n"/>
      <c r="T52" s="21" t="n"/>
      <c r="U52" s="21" t="n"/>
      <c r="V52" s="70" t="n"/>
      <c r="W52" s="70" t="n"/>
      <c r="X52" s="70" t="n"/>
      <c r="Y52" s="70" t="n"/>
      <c r="Z52" s="21" t="n"/>
    </row>
    <row r="53" ht="18.95" customHeight="1" s="63">
      <c r="A53" s="20" t="n">
        <v>44</v>
      </c>
      <c r="B53" s="70" t="n"/>
      <c r="C53" s="70" t="n"/>
      <c r="D53" s="70" t="n"/>
      <c r="E53" s="70" t="n"/>
      <c r="F53" s="70" t="n"/>
      <c r="G53" s="70" t="n"/>
      <c r="H53" s="21" t="n"/>
      <c r="I53" s="70" t="n"/>
      <c r="J53" s="70" t="n"/>
      <c r="K53" s="70" t="n"/>
      <c r="L53" s="70" t="n"/>
      <c r="M53" s="70" t="n"/>
      <c r="N53" s="70" t="n"/>
      <c r="O53" s="70" t="n"/>
      <c r="P53" s="70" t="n"/>
      <c r="Q53" s="21" t="n"/>
      <c r="R53" s="21" t="n"/>
      <c r="S53" s="21" t="n"/>
      <c r="T53" s="21" t="n"/>
      <c r="U53" s="21" t="n"/>
      <c r="V53" s="70" t="n"/>
      <c r="W53" s="70" t="n"/>
      <c r="X53" s="70" t="n"/>
      <c r="Y53" s="70" t="n"/>
      <c r="Z53" s="21" t="n"/>
    </row>
    <row r="54" ht="18.95" customHeight="1" s="63">
      <c r="A54" s="20" t="n">
        <v>45</v>
      </c>
      <c r="B54" s="70" t="n"/>
      <c r="C54" s="70" t="n"/>
      <c r="D54" s="70" t="n"/>
      <c r="E54" s="70" t="n"/>
      <c r="F54" s="70" t="n"/>
      <c r="G54" s="70" t="n"/>
      <c r="H54" s="21" t="n"/>
      <c r="I54" s="70" t="n"/>
      <c r="J54" s="70" t="n"/>
      <c r="K54" s="70" t="n"/>
      <c r="L54" s="70" t="n"/>
      <c r="M54" s="70" t="n"/>
      <c r="N54" s="70" t="n"/>
      <c r="O54" s="70" t="n"/>
      <c r="P54" s="70" t="n"/>
      <c r="Q54" s="21" t="n"/>
      <c r="R54" s="21" t="n"/>
      <c r="S54" s="21" t="n"/>
      <c r="T54" s="21" t="n"/>
      <c r="U54" s="21" t="n"/>
      <c r="V54" s="70" t="n"/>
      <c r="W54" s="70" t="n"/>
      <c r="X54" s="70" t="n"/>
      <c r="Y54" s="70" t="n"/>
      <c r="Z54" s="21" t="n"/>
    </row>
    <row r="55" ht="18.95" customHeight="1" s="63">
      <c r="A55" s="20" t="n">
        <v>46</v>
      </c>
      <c r="B55" s="70" t="n"/>
      <c r="C55" s="70" t="n"/>
      <c r="D55" s="70" t="n"/>
      <c r="E55" s="70" t="n"/>
      <c r="F55" s="70" t="n"/>
      <c r="G55" s="70" t="n"/>
      <c r="H55" s="21" t="n"/>
      <c r="I55" s="70" t="n"/>
      <c r="J55" s="70" t="n"/>
      <c r="K55" s="70" t="n"/>
      <c r="L55" s="70" t="n"/>
      <c r="M55" s="70" t="n"/>
      <c r="N55" s="70" t="n"/>
      <c r="O55" s="70" t="n"/>
      <c r="P55" s="70" t="n"/>
      <c r="Q55" s="21" t="n"/>
      <c r="R55" s="21" t="n"/>
      <c r="S55" s="21" t="n"/>
      <c r="T55" s="21" t="n"/>
      <c r="U55" s="21" t="n"/>
      <c r="V55" s="70" t="n"/>
      <c r="W55" s="70" t="n"/>
      <c r="X55" s="70" t="n"/>
      <c r="Y55" s="70" t="n"/>
      <c r="Z55" s="21" t="n"/>
    </row>
    <row r="56" ht="18.95" customHeight="1" s="63">
      <c r="A56" s="20" t="n">
        <v>47</v>
      </c>
      <c r="B56" s="70" t="n"/>
      <c r="C56" s="70" t="n"/>
      <c r="D56" s="70" t="n"/>
      <c r="E56" s="70" t="n"/>
      <c r="F56" s="70" t="n"/>
      <c r="G56" s="70" t="n"/>
      <c r="H56" s="21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21" t="n"/>
      <c r="R56" s="21" t="n"/>
      <c r="S56" s="21" t="n"/>
      <c r="T56" s="21" t="n"/>
      <c r="U56" s="21" t="n"/>
      <c r="V56" s="70" t="n"/>
      <c r="W56" s="70" t="n"/>
      <c r="X56" s="70" t="n"/>
      <c r="Y56" s="70" t="n"/>
      <c r="Z56" s="21" t="n"/>
    </row>
    <row r="57" ht="18.95" customHeight="1" s="63">
      <c r="A57" s="20" t="n">
        <v>48</v>
      </c>
      <c r="B57" s="70" t="n"/>
      <c r="C57" s="70" t="n"/>
      <c r="D57" s="70" t="n"/>
      <c r="E57" s="70" t="n"/>
      <c r="F57" s="70" t="n"/>
      <c r="G57" s="70" t="n"/>
      <c r="H57" s="21" t="n"/>
      <c r="I57" s="70" t="n"/>
      <c r="J57" s="70" t="n"/>
      <c r="K57" s="70" t="n"/>
      <c r="L57" s="70" t="n"/>
      <c r="M57" s="70" t="n"/>
      <c r="N57" s="70" t="n"/>
      <c r="O57" s="70" t="n"/>
      <c r="P57" s="70" t="n"/>
      <c r="Q57" s="21" t="n"/>
      <c r="R57" s="21" t="n"/>
      <c r="S57" s="21" t="n"/>
      <c r="T57" s="21" t="n"/>
      <c r="U57" s="21" t="n"/>
      <c r="V57" s="70" t="n"/>
      <c r="W57" s="70" t="n"/>
      <c r="X57" s="70" t="n"/>
      <c r="Y57" s="70" t="n"/>
      <c r="Z57" s="21" t="n"/>
    </row>
    <row r="58" ht="18.95" customHeight="1" s="63">
      <c r="A58" s="20" t="n">
        <v>49</v>
      </c>
      <c r="B58" s="70" t="n"/>
      <c r="C58" s="70" t="n"/>
      <c r="D58" s="70" t="n"/>
      <c r="E58" s="70" t="n"/>
      <c r="F58" s="70" t="n"/>
      <c r="G58" s="70" t="n"/>
      <c r="H58" s="21" t="n"/>
      <c r="I58" s="70" t="n"/>
      <c r="J58" s="70" t="n"/>
      <c r="K58" s="70" t="n"/>
      <c r="L58" s="70" t="n"/>
      <c r="M58" s="70" t="n"/>
      <c r="N58" s="70" t="n"/>
      <c r="O58" s="70" t="n"/>
      <c r="P58" s="70" t="n"/>
      <c r="Q58" s="21" t="n"/>
      <c r="R58" s="21" t="n"/>
      <c r="S58" s="21" t="n"/>
      <c r="T58" s="21" t="n"/>
      <c r="U58" s="21" t="n"/>
      <c r="V58" s="70" t="n"/>
      <c r="W58" s="70" t="n"/>
      <c r="X58" s="70" t="n"/>
      <c r="Y58" s="70" t="n"/>
      <c r="Z58" s="21" t="n"/>
    </row>
    <row r="59" ht="18.95" customHeight="1" s="63">
      <c r="A59" s="20" t="n">
        <v>50</v>
      </c>
      <c r="B59" s="70" t="n"/>
      <c r="C59" s="70" t="n"/>
      <c r="D59" s="70" t="n"/>
      <c r="E59" s="70" t="n"/>
      <c r="F59" s="70" t="n"/>
      <c r="G59" s="70" t="n"/>
      <c r="H59" s="21" t="n"/>
      <c r="I59" s="70" t="n"/>
      <c r="J59" s="70" t="n"/>
      <c r="K59" s="70" t="n"/>
      <c r="L59" s="70" t="n"/>
      <c r="M59" s="70" t="n"/>
      <c r="N59" s="70" t="n"/>
      <c r="O59" s="70" t="n"/>
      <c r="P59" s="70" t="n"/>
      <c r="Q59" s="21" t="n"/>
      <c r="R59" s="21" t="n"/>
      <c r="S59" s="21" t="n"/>
      <c r="T59" s="21" t="n"/>
      <c r="U59" s="21" t="n"/>
      <c r="V59" s="70" t="n"/>
      <c r="W59" s="70" t="n"/>
      <c r="X59" s="70" t="n"/>
      <c r="Y59" s="70" t="n"/>
      <c r="Z59" s="21" t="n"/>
    </row>
  </sheetData>
  <mergeCells count="22">
    <mergeCell ref="Y4:Z4"/>
    <mergeCell ref="Y3:Z3"/>
    <mergeCell ref="B8:D8"/>
    <mergeCell ref="G8:H8"/>
    <mergeCell ref="E8:F8"/>
    <mergeCell ref="A6:B6"/>
    <mergeCell ref="C1:X4"/>
    <mergeCell ref="H6:L6"/>
    <mergeCell ref="Y2:Z2"/>
    <mergeCell ref="C6:F6"/>
    <mergeCell ref="Y1:Z1"/>
    <mergeCell ref="M8:O8"/>
    <mergeCell ref="K8:L8"/>
    <mergeCell ref="S6:T6"/>
    <mergeCell ref="T8:U8"/>
    <mergeCell ref="I8:J8"/>
    <mergeCell ref="P8:S8"/>
    <mergeCell ref="U6:Z6"/>
    <mergeCell ref="V8:X8"/>
    <mergeCell ref="N6:R6"/>
    <mergeCell ref="A1:B4"/>
    <mergeCell ref="Y8:Z8"/>
  </mergeCells>
  <conditionalFormatting sqref="A10:Z59">
    <cfRule type="expression" priority="2" dxfId="7">
      <formula>LEFT($D10,8)="Décision"</formula>
    </cfRule>
    <cfRule type="expression" priority="3" dxfId="6">
      <formula>OR(LEFT($D10,5)="Début",LEFT($D10,3)="Fin")</formula>
    </cfRule>
  </conditionalFormatting>
  <conditionalFormatting sqref="Z10:Z59">
    <cfRule type="cellIs" priority="4" operator="equal" dxfId="5">
      <formula>"À compléter"</formula>
    </cfRule>
  </conditionalFormatting>
  <dataValidations count="4">
    <dataValidation sqref="D10:D59" showDropDown="0" showInputMessage="0" showErrorMessage="1" allowBlank="1" errorTitle="Valeur non prévue" error="Choisir une valeur dans la liste." type="list">
      <formula1>ListeSymboles</formula1>
      <formula2>0</formula2>
    </dataValidation>
    <dataValidation sqref="T10:T59" showDropDown="0" showInputMessage="0" showErrorMessage="1" allowBlank="1" errorTitle="Valeur non prévue" error="Choisir une valeur dans la liste." type="list">
      <formula1>ListeOuiNon</formula1>
      <formula2>0</formula2>
    </dataValidation>
    <dataValidation sqref="Z10:Z59" showDropDown="0" showInputMessage="0" showErrorMessage="1" allowBlank="1" errorTitle="Valeur non prévue" error="Choisir une valeur dans la liste." type="list">
      <formula1>ListeStatut</formula1>
      <formula2>0</formula2>
    </dataValidation>
    <dataValidation sqref="E10:E59" showDropDown="0" showInputMessage="1" showErrorMessage="0" allowBlank="1" errorTitle="Valeur non prévue" error="Choisir une valeur dans la liste." prompt="Choisir un rôle recensé dans Acteurs (saisie libre possible)" type="list">
      <formula1>ListeRoles</formula1>
      <formula2>0</formula2>
    </dataValidation>
  </dataValidations>
  <pageMargins left="0.4" right="0.4" top="0.5" bottom="0.5" header="0.511811023622047" footer="0.5"/>
  <pageSetup orientation="landscape" paperSize="8" fitToHeight="0" horizontalDpi="300" verticalDpi="300"/>
  <headerFooter>
    <oddHeader/>
    <oddFooter>&amp;LISOPEX C&amp;P — Fiche de collecte Qualigramme&amp;RPage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005A70"/>
    <outlinePr summaryBelow="1" summaryRight="1"/>
    <pageSetUpPr fitToPage="1"/>
  </sheetPr>
  <dimension ref="A1:L45"/>
  <sheetViews>
    <sheetView showGridLines="0" topLeftCell="A15" zoomScale="72" zoomScaleNormal="72" workbookViewId="0">
      <selection activeCell="B27" sqref="B27"/>
    </sheetView>
  </sheetViews>
  <sheetFormatPr baseColWidth="10" defaultColWidth="8.7109375" defaultRowHeight="15"/>
  <cols>
    <col width="5" customWidth="1" style="63" min="1" max="1"/>
    <col width="26" customWidth="1" style="63" min="2" max="2"/>
    <col width="40" customWidth="1" style="63" min="3" max="3"/>
    <col width="22" customWidth="1" style="63" min="4" max="4"/>
    <col width="24" customWidth="1" style="63" min="5" max="5"/>
    <col width="22" customWidth="1" style="63" min="6" max="6"/>
    <col width="20" customWidth="1" style="63" min="7" max="7"/>
    <col width="26" customWidth="1" style="63" min="8" max="8"/>
    <col width="20" customWidth="1" style="63" min="9" max="9"/>
    <col width="18" customWidth="1" style="63" min="10" max="10"/>
    <col width="14" customWidth="1" style="63" min="11" max="11"/>
    <col width="22" customWidth="1" style="63" min="12" max="12"/>
  </cols>
  <sheetData>
    <row r="1" ht="18" customHeight="1" s="63">
      <c r="A1" s="44" t="inlineStr">
        <is>
          <t>[Logo de l'organisation]</t>
        </is>
      </c>
      <c r="B1" s="45" t="n"/>
      <c r="C1" s="55" t="inlineStr">
        <is>
          <t>FICHE DE COLLECTE — INSTRUCTION DE TRAVAIL (NIVEAU 3 : COMMENT RÉALISER ?)</t>
        </is>
      </c>
      <c r="D1" s="56" t="n"/>
      <c r="E1" s="56" t="n"/>
      <c r="F1" s="56" t="n"/>
      <c r="G1" s="56" t="n"/>
      <c r="H1" s="56" t="n"/>
      <c r="I1" s="56" t="n"/>
      <c r="J1" s="45" t="n"/>
      <c r="K1" s="40" t="inlineStr">
        <is>
          <t>Code : FC-QUA-01</t>
        </is>
      </c>
      <c r="L1" s="41" t="n"/>
    </row>
    <row r="2" ht="18" customHeight="1" s="63">
      <c r="A2" s="46" t="n"/>
      <c r="B2" s="47" t="n"/>
      <c r="C2" s="46" t="n"/>
      <c r="J2" s="47" t="n"/>
      <c r="K2" s="40" t="inlineStr">
        <is>
          <t>Version : 01</t>
        </is>
      </c>
      <c r="L2" s="41" t="n"/>
    </row>
    <row r="3" ht="18" customHeight="1" s="63">
      <c r="A3" s="46" t="n"/>
      <c r="B3" s="47" t="n"/>
      <c r="C3" s="46" t="n"/>
      <c r="J3" s="47" t="n"/>
      <c r="K3" s="40" t="inlineStr">
        <is>
          <t>Date : ____/____/______</t>
        </is>
      </c>
      <c r="L3" s="41" t="n"/>
    </row>
    <row r="4" ht="18" customHeight="1" s="63">
      <c r="A4" s="48" t="n"/>
      <c r="B4" s="49" t="n"/>
      <c r="C4" s="48" t="n"/>
      <c r="D4" s="57" t="n"/>
      <c r="E4" s="57" t="n"/>
      <c r="F4" s="57" t="n"/>
      <c r="G4" s="57" t="n"/>
      <c r="H4" s="57" t="n"/>
      <c r="I4" s="57" t="n"/>
      <c r="J4" s="49" t="n"/>
      <c r="K4" s="40" t="inlineStr">
        <is>
          <t>Page : ___ / ___</t>
        </is>
      </c>
      <c r="L4" s="41" t="n"/>
    </row>
    <row r="5"/>
    <row r="6" ht="33.95" customFormat="1" customHeight="1" s="32">
      <c r="A6" s="68" t="inlineStr">
        <is>
          <t>Organisation :</t>
        </is>
      </c>
      <c r="B6" s="41" t="n"/>
      <c r="C6" s="59">
        <f>Cadrage!E7</f>
        <v/>
      </c>
      <c r="D6" s="43" t="n"/>
      <c r="E6" s="43" t="n"/>
      <c r="F6" s="41" t="n"/>
      <c r="G6" s="68" t="inlineStr">
        <is>
          <t>Procédure de rattachement :</t>
        </is>
      </c>
      <c r="H6" s="59">
        <f>Cadrage!E11</f>
        <v/>
      </c>
      <c r="I6" s="43" t="n"/>
      <c r="J6" s="43" t="n"/>
      <c r="K6" s="43" t="n"/>
      <c r="L6" s="41" t="n"/>
    </row>
    <row r="7" ht="18.95" customHeight="1" s="63">
      <c r="A7" s="71" t="inlineStr">
        <is>
          <t>Dupliquer cet onglet pour chaque instruction à rédiger (clic droit sur l'onglet &gt; Déplacer ou copier &gt; Créer une copie) et le renommer avec le code IT.</t>
        </is>
      </c>
    </row>
    <row r="8" ht="18.95" customHeight="1" s="63">
      <c r="A8" s="42" t="inlineStr">
        <is>
          <t>A. CADRAGE DE L'INSTRUCTION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1" t="n"/>
    </row>
    <row r="9" ht="18.95" customHeight="1" s="63">
      <c r="A9" s="69" t="inlineStr">
        <is>
          <t>Code IT</t>
        </is>
      </c>
      <c r="B9" s="41" t="n"/>
      <c r="C9" s="61" t="inlineStr">
        <is>
          <t>Ex. IT-SIN-01</t>
        </is>
      </c>
      <c r="D9" s="70" t="inlineStr">
        <is>
          <t>IT-JUR-03</t>
        </is>
      </c>
      <c r="E9" s="43" t="n"/>
      <c r="F9" s="43" t="n"/>
      <c r="G9" s="43" t="n"/>
      <c r="H9" s="43" t="n"/>
      <c r="I9" s="43" t="n"/>
      <c r="J9" s="43" t="n"/>
      <c r="K9" s="43" t="n"/>
      <c r="L9" s="41" t="n"/>
    </row>
    <row r="10" ht="18.95" customHeight="1" s="63">
      <c r="A10" s="69" t="inlineStr">
        <is>
          <t>Intitulé de l'instruction</t>
        </is>
      </c>
      <c r="B10" s="41" t="n"/>
      <c r="C10" s="61" t="inlineStr">
        <is>
          <t>Verbe à l'infinitif + objet</t>
        </is>
      </c>
      <c r="D10" s="70" t="inlineStr">
        <is>
          <t>Viser un contrat avant signature</t>
        </is>
      </c>
      <c r="E10" s="43" t="n"/>
      <c r="F10" s="43" t="n"/>
      <c r="G10" s="43" t="n"/>
      <c r="H10" s="43" t="n"/>
      <c r="I10" s="43" t="n"/>
      <c r="J10" s="43" t="n"/>
      <c r="K10" s="43" t="n"/>
      <c r="L10" s="41" t="n"/>
    </row>
    <row r="11" ht="33.95" customHeight="1" s="63">
      <c r="A11" s="69" t="inlineStr">
        <is>
          <t>N° d'opération(s) de la procédure détaillée(s)</t>
        </is>
      </c>
      <c r="B11" s="41" t="n"/>
      <c r="C11" s="61" t="inlineStr">
        <is>
          <t>Renvoi vers l'onglet Procedure_N2</t>
        </is>
      </c>
      <c r="D11" s="70" t="inlineStr">
        <is>
          <t>Opération n° 4</t>
        </is>
      </c>
      <c r="E11" s="43" t="n"/>
      <c r="F11" s="43" t="n"/>
      <c r="G11" s="43" t="n"/>
      <c r="H11" s="43" t="n"/>
      <c r="I11" s="43" t="n"/>
      <c r="J11" s="43" t="n"/>
      <c r="K11" s="43" t="n"/>
      <c r="L11" s="41" t="n"/>
    </row>
    <row r="12" ht="33.95" customHeight="1" s="63">
      <c r="A12" s="69" t="inlineStr">
        <is>
          <t>Rôle exécutant (unique)</t>
        </is>
      </c>
      <c r="B12" s="41" t="n"/>
      <c r="C12" s="61" t="inlineStr">
        <is>
          <t>Une instruction N3 ne concerne qu'un seul rôle</t>
        </is>
      </c>
      <c r="D12" s="70" t="inlineStr">
        <is>
          <t>Direction Administrative et Juridique (DAJ)</t>
        </is>
      </c>
      <c r="E12" s="43" t="n"/>
      <c r="F12" s="43" t="n"/>
      <c r="G12" s="43" t="n"/>
      <c r="H12" s="43" t="n"/>
      <c r="I12" s="43" t="n"/>
      <c r="J12" s="43" t="n"/>
      <c r="K12" s="43" t="n"/>
      <c r="L12" s="41" t="n"/>
    </row>
    <row r="13" ht="18.95" customHeight="1" s="63">
      <c r="A13" s="69" t="inlineStr">
        <is>
          <t>Poste / lieu de réalisation</t>
        </is>
      </c>
      <c r="B13" s="41" t="n"/>
      <c r="C13" s="61" t="inlineStr">
        <is>
          <t>Atelier, véhicule, bureau, site client…</t>
        </is>
      </c>
      <c r="D13" s="70" t="inlineStr">
        <is>
          <t>Bureau du DAJ</t>
        </is>
      </c>
      <c r="E13" s="43" t="n"/>
      <c r="F13" s="43" t="n"/>
      <c r="G13" s="43" t="n"/>
      <c r="H13" s="43" t="n"/>
      <c r="I13" s="43" t="n"/>
      <c r="J13" s="43" t="n"/>
      <c r="K13" s="43" t="n"/>
      <c r="L13" s="41" t="n"/>
    </row>
    <row r="14" ht="33.95" customHeight="1" s="63">
      <c r="A14" s="69" t="inlineStr">
        <is>
          <t>Objet</t>
        </is>
      </c>
      <c r="B14" s="41" t="n"/>
      <c r="C14" s="61" t="inlineStr">
        <is>
          <t>Pourquoi cette instruction ? Quel risque ou quelle erreur prévient-elle ?</t>
        </is>
      </c>
      <c r="D14" s="70" t="inlineStr">
        <is>
          <t>Garantir qu'aucun contrat n'est signé par la DG sans contrôle juridique.</t>
        </is>
      </c>
      <c r="E14" s="43" t="n"/>
      <c r="F14" s="43" t="n"/>
      <c r="G14" s="43" t="n"/>
      <c r="H14" s="43" t="n"/>
      <c r="I14" s="43" t="n"/>
      <c r="J14" s="43" t="n"/>
      <c r="K14" s="43" t="n"/>
      <c r="L14" s="41" t="n"/>
    </row>
    <row r="15" ht="18.95" customHeight="1" s="63">
      <c r="A15" s="69" t="inlineStr">
        <is>
          <t>Événement déclencheur</t>
        </is>
      </c>
      <c r="B15" s="41" t="n"/>
      <c r="C15" s="61" t="inlineStr">
        <is>
          <t>Quand l'opérateur commence-t-il ?</t>
        </is>
      </c>
      <c r="D15" s="70" t="inlineStr">
        <is>
          <t>Version finale du contrat arrêtée.</t>
        </is>
      </c>
      <c r="E15" s="43" t="n"/>
      <c r="F15" s="43" t="n"/>
      <c r="G15" s="43" t="n"/>
      <c r="H15" s="43" t="n"/>
      <c r="I15" s="43" t="n"/>
      <c r="J15" s="43" t="n"/>
      <c r="K15" s="43" t="n"/>
      <c r="L15" s="41" t="n"/>
    </row>
    <row r="16" ht="33.95" customHeight="1" s="63">
      <c r="A16" s="69" t="inlineStr">
        <is>
          <t>Résultat attendu</t>
        </is>
      </c>
      <c r="B16" s="41" t="n"/>
      <c r="C16" s="61" t="inlineStr">
        <is>
          <t>État final / produit / enregistrement à obtenir</t>
        </is>
      </c>
      <c r="D16" s="70" t="inlineStr">
        <is>
          <t>Contrat revêtu du cachet de visa, transmis à la DG.</t>
        </is>
      </c>
      <c r="E16" s="43" t="n"/>
      <c r="F16" s="43" t="n"/>
      <c r="G16" s="43" t="n"/>
      <c r="H16" s="43" t="n"/>
      <c r="I16" s="43" t="n"/>
      <c r="J16" s="43" t="n"/>
      <c r="K16" s="43" t="n"/>
      <c r="L16" s="41" t="n"/>
    </row>
    <row r="17" ht="33.95" customHeight="1" s="63">
      <c r="A17" s="69" t="inlineStr">
        <is>
          <t>Prérequis : compétences, habilitations</t>
        </is>
      </c>
      <c r="B17" s="41" t="n"/>
      <c r="C17" s="61" t="inlineStr">
        <is>
          <t>Formation, permis, autorisation requise</t>
        </is>
      </c>
      <c r="D17" s="70" t="inlineStr">
        <is>
          <t>Compétence juridique.</t>
        </is>
      </c>
      <c r="E17" s="43" t="n"/>
      <c r="F17" s="43" t="n"/>
      <c r="G17" s="43" t="n"/>
      <c r="H17" s="43" t="n"/>
      <c r="I17" s="43" t="n"/>
      <c r="J17" s="43" t="n"/>
      <c r="K17" s="43" t="n"/>
      <c r="L17" s="41" t="n"/>
    </row>
    <row r="18" ht="33.95" customHeight="1" s="63">
      <c r="A18" s="69" t="inlineStr">
        <is>
          <t>EPI et consignes HSE</t>
        </is>
      </c>
      <c r="B18" s="41" t="n"/>
      <c r="C18" s="61" t="inlineStr">
        <is>
          <t>Équipements de protection, consignes sécurité / environnement</t>
        </is>
      </c>
      <c r="D18" s="70" t="inlineStr">
        <is>
          <t>-</t>
        </is>
      </c>
      <c r="E18" s="43" t="n"/>
      <c r="F18" s="43" t="n"/>
      <c r="G18" s="43" t="n"/>
      <c r="H18" s="43" t="n"/>
      <c r="I18" s="43" t="n"/>
      <c r="J18" s="43" t="n"/>
      <c r="K18" s="43" t="n"/>
      <c r="L18" s="41" t="n"/>
    </row>
    <row r="19" ht="18.95" customHeight="1" s="63">
      <c r="A19" s="69" t="inlineStr">
        <is>
          <t>Matériels, outils, applications</t>
        </is>
      </c>
      <c r="B19" s="41" t="n"/>
      <c r="C19" s="61" t="inlineStr">
        <is>
          <t>Liste complète des moyens nécessaires</t>
        </is>
      </c>
      <c r="D19" s="70" t="inlineStr">
        <is>
          <t>Cachet de visa du DAJ.</t>
        </is>
      </c>
      <c r="E19" s="43" t="n"/>
      <c r="F19" s="43" t="n"/>
      <c r="G19" s="43" t="n"/>
      <c r="H19" s="43" t="n"/>
      <c r="I19" s="43" t="n"/>
      <c r="J19" s="43" t="n"/>
      <c r="K19" s="43" t="n"/>
      <c r="L19" s="41" t="n"/>
    </row>
    <row r="20" ht="33.95" customHeight="1" s="63">
      <c r="A20" s="69" t="inlineStr">
        <is>
          <t>Documents de référence</t>
        </is>
      </c>
      <c r="B20" s="41" t="n"/>
      <c r="C20" s="61" t="inlineStr">
        <is>
          <t>Procédure, fiche technique, notice, réglementation</t>
        </is>
      </c>
      <c r="D20" s="70" t="inlineStr">
        <is>
          <t>Contrat ; cahier des charges.</t>
        </is>
      </c>
      <c r="E20" s="43" t="n"/>
      <c r="F20" s="43" t="n"/>
      <c r="G20" s="43" t="n"/>
      <c r="H20" s="43" t="n"/>
      <c r="I20" s="43" t="n"/>
      <c r="J20" s="43" t="n"/>
      <c r="K20" s="43" t="n"/>
      <c r="L20" s="41" t="n"/>
    </row>
    <row r="21" ht="18.95" customHeight="1" s="63">
      <c r="A21" s="69" t="inlineStr">
        <is>
          <t>Fréquence / durée estimée</t>
        </is>
      </c>
      <c r="B21" s="41" t="n"/>
      <c r="C21" s="61" t="inlineStr">
        <is>
          <t>Nombre de réalisations et durée moyenne</t>
        </is>
      </c>
      <c r="D21" s="70" t="inlineStr">
        <is>
          <t>À chaque contrat.</t>
        </is>
      </c>
      <c r="E21" s="43" t="n"/>
      <c r="F21" s="43" t="n"/>
      <c r="G21" s="43" t="n"/>
      <c r="H21" s="43" t="n"/>
      <c r="I21" s="43" t="n"/>
      <c r="J21" s="43" t="n"/>
      <c r="K21" s="43" t="n"/>
      <c r="L21" s="41" t="n"/>
    </row>
    <row r="22" ht="33.95" customHeight="1" s="63">
      <c r="A22" s="69" t="inlineStr">
        <is>
          <t>Méthode de collecte</t>
        </is>
      </c>
      <c r="B22" s="41" t="n"/>
      <c r="C22" s="61" t="inlineStr">
        <is>
          <t>Entretien, observation au poste, démonstration, photos</t>
        </is>
      </c>
      <c r="D22" s="70" t="inlineStr">
        <is>
          <t>Entretien (à valider)</t>
        </is>
      </c>
      <c r="E22" s="43" t="n"/>
      <c r="F22" s="43" t="n"/>
      <c r="G22" s="43" t="n"/>
      <c r="H22" s="43" t="n"/>
      <c r="I22" s="43" t="n"/>
      <c r="J22" s="43" t="n"/>
      <c r="K22" s="43" t="n"/>
      <c r="L22" s="41" t="n"/>
    </row>
    <row r="23"/>
    <row r="24" ht="18.95" customHeight="1" s="63">
      <c r="A24" s="42" t="inlineStr">
        <is>
          <t>B. DÉROULÉ DÉTAILLÉ DES OPÉRATIONS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1" t="n"/>
    </row>
    <row r="25" ht="48.95" customHeight="1" s="63">
      <c r="A25" s="19" t="inlineStr">
        <is>
          <t>N°</t>
        </is>
      </c>
      <c r="B25" s="19" t="inlineStr">
        <is>
          <t>Opération
(verbe à l'infinitif)</t>
        </is>
      </c>
      <c r="C25" s="19" t="inlineStr">
        <is>
          <t>Comment ?
Mode opératoire détaillé (gestes, paramètres, séquence)</t>
        </is>
      </c>
      <c r="D25" s="19" t="inlineStr">
        <is>
          <t>Avec quoi ?
Moyens (matériel, outil, document)</t>
        </is>
      </c>
      <c r="E25" s="19" t="inlineStr">
        <is>
          <t>Point clé / critère d'acceptation</t>
        </is>
      </c>
      <c r="F25" s="19" t="inlineStr">
        <is>
          <t>Autocontrôle
(que vérifier ?)</t>
        </is>
      </c>
      <c r="G25" s="19" t="inlineStr">
        <is>
          <t>Anomalie possible</t>
        </is>
      </c>
      <c r="H25" s="19" t="inlineStr">
        <is>
          <t>Conduite à tenir / action corrective</t>
        </is>
      </c>
      <c r="I25" s="19" t="inlineStr">
        <is>
          <t>Sécurité / environnement</t>
        </is>
      </c>
      <c r="J25" s="19" t="inlineStr">
        <is>
          <t>Enregistrement produit</t>
        </is>
      </c>
      <c r="K25" s="19" t="inlineStr">
        <is>
          <t>Illustration
(photo / schéma — réf.)</t>
        </is>
      </c>
      <c r="L25" s="19" t="inlineStr">
        <is>
          <t>Commentaires</t>
        </is>
      </c>
    </row>
    <row r="26" ht="28.5" customHeight="1" s="63">
      <c r="A26" s="20" t="n">
        <v>1</v>
      </c>
      <c r="B26" s="70" t="inlineStr">
        <is>
          <t>Vérifier la conformité juridique</t>
        </is>
      </c>
      <c r="C26" s="70" t="inlineStr">
        <is>
          <t>Relire le contrat au regard du droit applicable</t>
        </is>
      </c>
      <c r="D26" s="70" t="inlineStr">
        <is>
          <t>Contrat</t>
        </is>
      </c>
      <c r="E26" s="70" t="inlineStr">
        <is>
          <t>Clauses conformes</t>
        </is>
      </c>
      <c r="F26" s="70" t="inlineStr">
        <is>
          <t>Contrat conforme ?</t>
        </is>
      </c>
      <c r="G26" s="70" t="inlineStr">
        <is>
          <t>Clause non conforme</t>
        </is>
      </c>
      <c r="H26" s="70" t="inlineStr">
        <is>
          <t>Retour à la négociation</t>
        </is>
      </c>
      <c r="I26" s="70" t="n"/>
      <c r="J26" s="70" t="inlineStr">
        <is>
          <t>-</t>
        </is>
      </c>
      <c r="K26" s="70" t="n"/>
      <c r="L26" s="70" t="n"/>
    </row>
    <row r="27" ht="28.5" customHeight="1" s="63">
      <c r="A27" s="20" t="n">
        <v>2</v>
      </c>
      <c r="B27" s="70" t="inlineStr">
        <is>
          <t>Contrôler la cohérence technique</t>
        </is>
      </c>
      <c r="C27" s="70" t="inlineStr">
        <is>
          <t>Comparer le contrat et les éléments techniques et financiers</t>
        </is>
      </c>
      <c r="D27" s="70" t="inlineStr">
        <is>
          <t>Cahier des charges</t>
        </is>
      </c>
      <c r="E27" s="70" t="inlineStr">
        <is>
          <t>Aucun écart</t>
        </is>
      </c>
      <c r="F27" s="70" t="inlineStr">
        <is>
          <t>Cohérence vérifiée ?</t>
        </is>
      </c>
      <c r="G27" s="70" t="inlineStr">
        <is>
          <t>Écart avec le besoin</t>
        </is>
      </c>
      <c r="H27" s="70" t="inlineStr">
        <is>
          <t>Retour au service demandeur</t>
        </is>
      </c>
      <c r="I27" s="70" t="n"/>
      <c r="J27" s="70" t="inlineStr">
        <is>
          <t>-</t>
        </is>
      </c>
      <c r="K27" s="70" t="n"/>
      <c r="L27" s="70" t="n"/>
    </row>
    <row r="28" ht="28.5" customHeight="1" s="63">
      <c r="A28" s="20" t="n">
        <v>3</v>
      </c>
      <c r="B28" s="70" t="inlineStr">
        <is>
          <t>Vérifier les pouvoirs du signataire</t>
        </is>
      </c>
      <c r="C28" s="70" t="inlineStr">
        <is>
          <t>Extrait RCCM ou délégation de la partie adverse</t>
        </is>
      </c>
      <c r="D28" s="70" t="inlineStr">
        <is>
          <t>Extrait RCCM, délégation</t>
        </is>
      </c>
      <c r="E28" s="70" t="inlineStr">
        <is>
          <t>Signataire habilité</t>
        </is>
      </c>
      <c r="F28" s="70" t="inlineStr">
        <is>
          <t>Le signataire peut-il engager sa société ?</t>
        </is>
      </c>
      <c r="G28" s="70" t="inlineStr">
        <is>
          <t>Pouvoir non prouvé</t>
        </is>
      </c>
      <c r="H28" s="70" t="inlineStr">
        <is>
          <t>Demander la délégation avant signature</t>
        </is>
      </c>
      <c r="I28" s="70" t="n"/>
      <c r="J28" s="70" t="n"/>
      <c r="K28" s="70" t="n"/>
      <c r="L28" s="70" t="n"/>
    </row>
    <row r="29" ht="28.5" customHeight="1" s="63">
      <c r="A29" s="20" t="n">
        <v>4</v>
      </c>
      <c r="B29" s="70" t="inlineStr">
        <is>
          <t>Apposer le cachet de visa</t>
        </is>
      </c>
      <c r="C29" s="70" t="inlineStr">
        <is>
          <t>Apposer le cachet du DAJ sur les pages du contrat</t>
        </is>
      </c>
      <c r="D29" s="70" t="inlineStr">
        <is>
          <t>Cachet de visa</t>
        </is>
      </c>
      <c r="E29" s="70" t="inlineStr">
        <is>
          <t>Cachet sur les pages visées</t>
        </is>
      </c>
      <c r="F29" s="70" t="inlineStr">
        <is>
          <t>Cachet apposé ?</t>
        </is>
      </c>
      <c r="G29" s="70" t="inlineStr">
        <is>
          <t>Cachet absent</t>
        </is>
      </c>
      <c r="H29" s="70" t="inlineStr">
        <is>
          <t>Compléter avant signature</t>
        </is>
      </c>
      <c r="I29" s="70" t="n"/>
      <c r="J29" s="70" t="inlineStr">
        <is>
          <t>Contrat visé</t>
        </is>
      </c>
      <c r="K29" s="70" t="n"/>
      <c r="L29" s="70" t="inlineStr">
        <is>
          <t>Sans cachet, la DG ne signe pas</t>
        </is>
      </c>
    </row>
    <row r="30" ht="28.5" customHeight="1" s="63">
      <c r="A30" s="20" t="n">
        <v>5</v>
      </c>
      <c r="B30" s="70" t="inlineStr">
        <is>
          <t>Transmettre à la DG</t>
        </is>
      </c>
      <c r="C30" s="70" t="inlineStr">
        <is>
          <t>Remettre le contrat visé à la DG pour signature</t>
        </is>
      </c>
      <c r="D30" s="70" t="inlineStr">
        <is>
          <t>Contrat visé</t>
        </is>
      </c>
      <c r="E30" s="70" t="inlineStr">
        <is>
          <t>Contrat transmis</t>
        </is>
      </c>
      <c r="F30" s="70" t="inlineStr">
        <is>
          <t>Transmission faite ?</t>
        </is>
      </c>
      <c r="G30" s="70" t="inlineStr">
        <is>
          <t>Contrat égaré</t>
        </is>
      </c>
      <c r="H30" s="70" t="inlineStr">
        <is>
          <t>Suivre la remise</t>
        </is>
      </c>
      <c r="I30" s="70" t="n"/>
      <c r="J30" s="70" t="inlineStr">
        <is>
          <t>-</t>
        </is>
      </c>
      <c r="K30" s="70" t="n"/>
      <c r="L30" s="70" t="n"/>
    </row>
    <row r="31" ht="18.95" customHeight="1" s="63">
      <c r="A31" s="20" t="n">
        <v>6</v>
      </c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</row>
    <row r="32" ht="18.95" customHeight="1" s="63">
      <c r="A32" s="20" t="n">
        <v>7</v>
      </c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</row>
    <row r="33" ht="18.95" customHeight="1" s="63">
      <c r="A33" s="20" t="n">
        <v>8</v>
      </c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</row>
    <row r="34" ht="18.95" customHeight="1" s="63">
      <c r="A34" s="20" t="n">
        <v>9</v>
      </c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</row>
    <row r="35" ht="18.95" customHeight="1" s="63">
      <c r="A35" s="20" t="n">
        <v>10</v>
      </c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</row>
    <row r="36" ht="18.95" customHeight="1" s="63">
      <c r="A36" s="20" t="n">
        <v>11</v>
      </c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</row>
    <row r="37" ht="18.95" customHeight="1" s="63">
      <c r="A37" s="20" t="n">
        <v>12</v>
      </c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</row>
    <row r="38" ht="18.95" customHeight="1" s="63">
      <c r="A38" s="20" t="n">
        <v>13</v>
      </c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</row>
    <row r="39" ht="18.95" customHeight="1" s="63">
      <c r="A39" s="20" t="n">
        <v>14</v>
      </c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</row>
    <row r="40" ht="18.95" customHeight="1" s="63">
      <c r="A40" s="20" t="n">
        <v>15</v>
      </c>
      <c r="B40" s="70" t="n"/>
      <c r="C40" s="70" t="n"/>
      <c r="D40" s="70" t="n"/>
      <c r="E40" s="70" t="n"/>
      <c r="F40" s="70" t="n"/>
      <c r="G40" s="70" t="n"/>
      <c r="H40" s="70" t="n"/>
      <c r="I40" s="70" t="n"/>
      <c r="J40" s="70" t="n"/>
      <c r="K40" s="70" t="n"/>
      <c r="L40" s="70" t="n"/>
    </row>
    <row r="41" ht="18.95" customHeight="1" s="63">
      <c r="A41" s="20" t="n">
        <v>16</v>
      </c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</row>
    <row r="42" ht="18.95" customHeight="1" s="63">
      <c r="A42" s="20" t="n">
        <v>17</v>
      </c>
      <c r="B42" s="70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</row>
    <row r="43" ht="18.95" customHeight="1" s="63">
      <c r="A43" s="20" t="n">
        <v>18</v>
      </c>
      <c r="B43" s="70" t="n"/>
      <c r="C43" s="70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</row>
    <row r="44" ht="18.95" customHeight="1" s="63">
      <c r="A44" s="20" t="n">
        <v>19</v>
      </c>
      <c r="B44" s="70" t="n"/>
      <c r="C44" s="70" t="n"/>
      <c r="D44" s="70" t="n"/>
      <c r="E44" s="70" t="n"/>
      <c r="F44" s="70" t="n"/>
      <c r="G44" s="70" t="n"/>
      <c r="H44" s="70" t="n"/>
      <c r="I44" s="70" t="n"/>
      <c r="J44" s="70" t="n"/>
      <c r="K44" s="70" t="n"/>
      <c r="L44" s="70" t="n"/>
    </row>
    <row r="45" ht="18.95" customHeight="1" s="63">
      <c r="A45" s="20" t="n">
        <v>20</v>
      </c>
      <c r="B45" s="70" t="n"/>
      <c r="C45" s="70" t="n"/>
      <c r="D45" s="70" t="n"/>
      <c r="E45" s="70" t="n"/>
      <c r="F45" s="70" t="n"/>
      <c r="G45" s="70" t="n"/>
      <c r="H45" s="70" t="n"/>
      <c r="I45" s="70" t="n"/>
      <c r="J45" s="70" t="n"/>
      <c r="K45" s="70" t="n"/>
      <c r="L45" s="70" t="n"/>
    </row>
  </sheetData>
  <mergeCells count="40">
    <mergeCell ref="D21:L21"/>
    <mergeCell ref="D13:L13"/>
    <mergeCell ref="D11:L11"/>
    <mergeCell ref="A7:L7"/>
    <mergeCell ref="A15:B15"/>
    <mergeCell ref="A11:B11"/>
    <mergeCell ref="A9:B9"/>
    <mergeCell ref="D17:L17"/>
    <mergeCell ref="A6:B6"/>
    <mergeCell ref="D16:L16"/>
    <mergeCell ref="A16:B16"/>
    <mergeCell ref="H6:L6"/>
    <mergeCell ref="K1:L1"/>
    <mergeCell ref="C6:F6"/>
    <mergeCell ref="D18:L18"/>
    <mergeCell ref="A8:L8"/>
    <mergeCell ref="D9:L9"/>
    <mergeCell ref="D12:L12"/>
    <mergeCell ref="A18:B18"/>
    <mergeCell ref="A12:B12"/>
    <mergeCell ref="A21:B21"/>
    <mergeCell ref="D15:L15"/>
    <mergeCell ref="K2:L2"/>
    <mergeCell ref="D14:L14"/>
    <mergeCell ref="A14:B14"/>
    <mergeCell ref="A17:B17"/>
    <mergeCell ref="D20:L20"/>
    <mergeCell ref="A22:B22"/>
    <mergeCell ref="D10:L10"/>
    <mergeCell ref="A24:L24"/>
    <mergeCell ref="A20:B20"/>
    <mergeCell ref="D19:L19"/>
    <mergeCell ref="A19:B19"/>
    <mergeCell ref="A10:B10"/>
    <mergeCell ref="A1:B4"/>
    <mergeCell ref="D22:L22"/>
    <mergeCell ref="C1:J4"/>
    <mergeCell ref="A13:B13"/>
    <mergeCell ref="K4:L4"/>
    <mergeCell ref="K3:L3"/>
  </mergeCells>
  <dataValidations count="1">
    <dataValidation sqref="D12" showDropDown="0" showInputMessage="0" showErrorMessage="0" allowBlank="1" errorTitle="Valeur non prévue" error="Choisir une valeur dans la liste." type="list">
      <formula1>ListeRoles</formula1>
      <formula2>0</formula2>
    </dataValidation>
  </dataValidations>
  <pageMargins left="0.4" right="0.4" top="0.5" bottom="0.5" header="0.511811023622047" footer="0.5"/>
  <pageSetup orientation="landscape" paperSize="9" fitToHeight="0" horizontalDpi="300" verticalDpi="300"/>
  <headerFooter>
    <oddHeader/>
    <oddFooter>&amp;LISOPEX C&amp;P — Fiche de collecte Qualigramme&amp;RPage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005A70"/>
    <outlinePr summaryBelow="1" summaryRight="1"/>
    <pageSetUpPr fitToPage="1"/>
  </sheetPr>
  <dimension ref="A1:L38"/>
  <sheetViews>
    <sheetView showGridLines="0" zoomScale="90" zoomScaleNormal="90" workbookViewId="0">
      <pane xSplit="3" ySplit="8" topLeftCell="D10" activePane="bottomRight" state="frozen"/>
      <selection pane="topRight" activeCell="D1" sqref="D1"/>
      <selection pane="bottomLeft" activeCell="A9" sqref="A9"/>
      <selection pane="bottomRight" activeCell="C14" sqref="C14"/>
    </sheetView>
  </sheetViews>
  <sheetFormatPr baseColWidth="10" defaultColWidth="8.7109375" defaultRowHeight="15"/>
  <cols>
    <col width="5" customWidth="1" style="63" min="1" max="1"/>
    <col width="14" customWidth="1" style="63" min="2" max="2"/>
    <col width="32" customWidth="1" style="63" min="3" max="3"/>
    <col width="20" customWidth="1" style="63" min="4" max="4"/>
    <col width="14" customWidth="1" style="63" min="5" max="5"/>
    <col width="18" customWidth="1" style="63" min="6" max="6"/>
    <col width="20" customWidth="1" style="63" min="7" max="7"/>
    <col width="12" customWidth="1" style="63" min="8" max="8"/>
    <col width="22" customWidth="1" style="63" min="9" max="9"/>
    <col width="14" customWidth="1" style="63" min="10" max="10"/>
    <col width="11" customWidth="1" style="63" min="11" max="11"/>
    <col width="28" customWidth="1" style="63" min="12" max="12"/>
  </cols>
  <sheetData>
    <row r="1" ht="18" customHeight="1" s="63">
      <c r="A1" s="44" t="inlineStr">
        <is>
          <t>[Logo de l'organisation]</t>
        </is>
      </c>
      <c r="B1" s="45" t="n"/>
      <c r="C1" s="55" t="inlineStr">
        <is>
          <t>FICHE DE COLLECTE — DOCUMENTS ET ENREGISTREMENTS</t>
        </is>
      </c>
      <c r="D1" s="56" t="n"/>
      <c r="E1" s="56" t="n"/>
      <c r="F1" s="56" t="n"/>
      <c r="G1" s="56" t="n"/>
      <c r="H1" s="56" t="n"/>
      <c r="I1" s="56" t="n"/>
      <c r="J1" s="45" t="n"/>
      <c r="K1" s="40" t="inlineStr">
        <is>
          <t>Code : FC-QUA-01</t>
        </is>
      </c>
      <c r="L1" s="41" t="n"/>
    </row>
    <row r="2" ht="18" customHeight="1" s="63">
      <c r="A2" s="46" t="n"/>
      <c r="B2" s="47" t="n"/>
      <c r="C2" s="46" t="n"/>
      <c r="J2" s="47" t="n"/>
      <c r="K2" s="40" t="inlineStr">
        <is>
          <t>Version : 01</t>
        </is>
      </c>
      <c r="L2" s="41" t="n"/>
    </row>
    <row r="3" ht="18" customHeight="1" s="63">
      <c r="A3" s="46" t="n"/>
      <c r="B3" s="47" t="n"/>
      <c r="C3" s="46" t="n"/>
      <c r="J3" s="47" t="n"/>
      <c r="K3" s="40" t="inlineStr">
        <is>
          <t>Date : ____/____/______</t>
        </is>
      </c>
      <c r="L3" s="41" t="n"/>
    </row>
    <row r="4" ht="18" customHeight="1" s="63">
      <c r="A4" s="48" t="n"/>
      <c r="B4" s="49" t="n"/>
      <c r="C4" s="48" t="n"/>
      <c r="D4" s="57" t="n"/>
      <c r="E4" s="57" t="n"/>
      <c r="F4" s="57" t="n"/>
      <c r="G4" s="57" t="n"/>
      <c r="H4" s="57" t="n"/>
      <c r="I4" s="57" t="n"/>
      <c r="J4" s="49" t="n"/>
      <c r="K4" s="40" t="inlineStr">
        <is>
          <t>Page : ___ / ___</t>
        </is>
      </c>
      <c r="L4" s="41" t="n"/>
    </row>
    <row r="5"/>
    <row r="6" ht="18.95" customFormat="1" customHeight="1" s="32">
      <c r="A6" s="68" t="inlineStr">
        <is>
          <t>Organisation :</t>
        </is>
      </c>
      <c r="B6" s="41" t="n"/>
      <c r="C6" s="59">
        <f>Cadrage!E7</f>
        <v/>
      </c>
      <c r="D6" s="43" t="n"/>
      <c r="E6" s="43" t="n"/>
      <c r="F6" s="41" t="n"/>
      <c r="G6" s="68" t="inlineStr">
        <is>
          <t>Procédure :</t>
        </is>
      </c>
      <c r="H6" s="59">
        <f>Cadrage!E11</f>
        <v/>
      </c>
      <c r="I6" s="43" t="n"/>
      <c r="J6" s="43" t="n"/>
      <c r="K6" s="43" t="n"/>
      <c r="L6" s="41" t="n"/>
    </row>
    <row r="7"/>
    <row r="8" ht="33.95" customHeight="1" s="63">
      <c r="A8" s="19" t="inlineStr">
        <is>
          <t>N°</t>
        </is>
      </c>
      <c r="B8" s="19" t="inlineStr">
        <is>
          <t>Code / référence</t>
        </is>
      </c>
      <c r="C8" s="19" t="inlineStr">
        <is>
          <t>Intitulé du document</t>
        </is>
      </c>
      <c r="D8" s="19" t="inlineStr">
        <is>
          <t>Nature</t>
        </is>
      </c>
      <c r="E8" s="19" t="inlineStr">
        <is>
          <t>Support</t>
        </is>
      </c>
      <c r="F8" s="19" t="inlineStr">
        <is>
          <t>Émetteur (rôle)</t>
        </is>
      </c>
      <c r="G8" s="19" t="inlineStr">
        <is>
          <t>Destinataire(s)</t>
        </is>
      </c>
      <c r="H8" s="19" t="inlineStr">
        <is>
          <t>Op. concernée(s) n°</t>
        </is>
      </c>
      <c r="I8" s="19" t="inlineStr">
        <is>
          <t>Lieu de classement / archivage</t>
        </is>
      </c>
      <c r="J8" s="19" t="inlineStr">
        <is>
          <t>Durée de conservation</t>
        </is>
      </c>
      <c r="K8" s="19" t="inlineStr">
        <is>
          <t>Modèle collecté ?</t>
        </is>
      </c>
      <c r="L8" s="19" t="inlineStr">
        <is>
          <t>Commentaires</t>
        </is>
      </c>
    </row>
    <row r="9" ht="48.95" customHeight="1" s="63">
      <c r="A9" s="20" t="n">
        <v>1</v>
      </c>
      <c r="B9" s="70" t="inlineStr">
        <is>
          <t>FO-JUR-04</t>
        </is>
      </c>
      <c r="C9" s="70" t="inlineStr">
        <is>
          <t>Cahier des charges (éléments techniques et financiers)</t>
        </is>
      </c>
      <c r="D9" s="70" t="inlineStr">
        <is>
          <t>Enregistrement</t>
        </is>
      </c>
      <c r="E9" s="21" t="inlineStr">
        <is>
          <t>Électronique</t>
        </is>
      </c>
      <c r="F9" s="70" t="inlineStr">
        <is>
          <t>Service demandeur (DG, Exploitation, Achats ou autre)</t>
        </is>
      </c>
      <c r="G9" s="70" t="inlineStr">
        <is>
          <t>Direction Administrative et Juridique (DAJ)</t>
        </is>
      </c>
      <c r="H9" s="21" t="inlineStr">
        <is>
          <t>1,2</t>
        </is>
      </c>
      <c r="I9" s="70" t="inlineStr">
        <is>
          <t>Dossier du contrat</t>
        </is>
      </c>
      <c r="J9" s="21" t="inlineStr">
        <is>
          <t>À définir</t>
        </is>
      </c>
      <c r="K9" s="21" t="inlineStr">
        <is>
          <t>Oui</t>
        </is>
      </c>
      <c r="L9" s="70" t="n"/>
    </row>
    <row r="10" ht="48.95" customHeight="1" s="63">
      <c r="A10" s="20" t="n">
        <v>2</v>
      </c>
      <c r="B10" s="70" t="inlineStr">
        <is>
          <t>-</t>
        </is>
      </c>
      <c r="C10" s="70" t="inlineStr">
        <is>
          <t>Contrat (original signé)</t>
        </is>
      </c>
      <c r="D10" s="70" t="inlineStr">
        <is>
          <t>Enregistrement</t>
        </is>
      </c>
      <c r="E10" s="21" t="inlineStr">
        <is>
          <t>Papier</t>
        </is>
      </c>
      <c r="F10" s="70" t="inlineStr">
        <is>
          <t>Direction Administrative et Juridique (DAJ)</t>
        </is>
      </c>
      <c r="G10" s="70" t="inlineStr">
        <is>
          <t>Client ou fournisseur</t>
        </is>
      </c>
      <c r="H10" s="21" t="inlineStr">
        <is>
          <t>2 à 7</t>
        </is>
      </c>
      <c r="I10" s="70" t="inlineStr">
        <is>
          <t>Chrono du DAJ</t>
        </is>
      </c>
      <c r="J10" s="21" t="inlineStr">
        <is>
          <t>À définir</t>
        </is>
      </c>
      <c r="K10" s="21" t="inlineStr">
        <is>
          <t>Oui</t>
        </is>
      </c>
      <c r="L10" s="70" t="inlineStr">
        <is>
          <t>Copie scannée en plus ; acte juridique : référencé dans le fichier de suivi des contrats</t>
        </is>
      </c>
    </row>
    <row r="11" ht="48.95" customHeight="1" s="63">
      <c r="A11" s="20" t="n">
        <v>3</v>
      </c>
      <c r="B11" s="70" t="inlineStr">
        <is>
          <t>-</t>
        </is>
      </c>
      <c r="C11" s="70" t="inlineStr">
        <is>
          <t>Cachet de visa du DAJ</t>
        </is>
      </c>
      <c r="D11" s="70" t="inlineStr">
        <is>
          <t>Fichier / Application</t>
        </is>
      </c>
      <c r="E11" s="21" t="inlineStr">
        <is>
          <t>Papier</t>
        </is>
      </c>
      <c r="F11" s="70" t="inlineStr">
        <is>
          <t>Direction Administrative et Juridique (DAJ)</t>
        </is>
      </c>
      <c r="G11" s="70" t="inlineStr">
        <is>
          <t>Direction Générale</t>
        </is>
      </c>
      <c r="H11" s="21" t="inlineStr">
        <is>
          <t>4</t>
        </is>
      </c>
      <c r="I11" s="70" t="inlineStr">
        <is>
          <t>DAJ</t>
        </is>
      </c>
      <c r="J11" s="21" t="inlineStr">
        <is>
          <t>À définir</t>
        </is>
      </c>
      <c r="K11" s="21" t="inlineStr">
        <is>
          <t>Oui</t>
        </is>
      </c>
      <c r="L11" s="70" t="inlineStr">
        <is>
          <t>Condition de la signature de la DG ; outil (cachet), non codifié</t>
        </is>
      </c>
    </row>
    <row r="12" ht="48.95" customHeight="1" s="63">
      <c r="A12" s="20" t="n">
        <v>4</v>
      </c>
      <c r="B12" s="70" t="inlineStr">
        <is>
          <t>EN-JUR-04</t>
        </is>
      </c>
      <c r="C12" s="70" t="inlineStr">
        <is>
          <t>Fichier numérique de suivi des contrats</t>
        </is>
      </c>
      <c r="D12" s="70" t="inlineStr">
        <is>
          <t>Enregistrement</t>
        </is>
      </c>
      <c r="E12" s="21" t="inlineStr">
        <is>
          <t>Électronique</t>
        </is>
      </c>
      <c r="F12" s="70" t="inlineStr">
        <is>
          <t>Direction Administrative et Juridique (DAJ)</t>
        </is>
      </c>
      <c r="G12" s="70" t="inlineStr">
        <is>
          <t>Service demandeur (DG, Exploitation, Achats ou autre)</t>
        </is>
      </c>
      <c r="H12" s="21" t="inlineStr">
        <is>
          <t>7,8</t>
        </is>
      </c>
      <c r="I12" s="70" t="inlineStr">
        <is>
          <t>Serveur DAJ</t>
        </is>
      </c>
      <c r="J12" s="21" t="inlineStr">
        <is>
          <t>À définir</t>
        </is>
      </c>
      <c r="K12" s="21" t="inlineStr">
        <is>
          <t>Oui</t>
        </is>
      </c>
      <c r="L12" s="70" t="inlineStr">
        <is>
          <t>À demander : exemplaire à collecter</t>
        </is>
      </c>
    </row>
    <row r="13" ht="48.95" customHeight="1" s="63">
      <c r="A13" s="20" t="n">
        <v>5</v>
      </c>
      <c r="B13" s="70" t="inlineStr">
        <is>
          <t>EN-JUR-05</t>
        </is>
      </c>
      <c r="C13" s="70" t="inlineStr">
        <is>
          <t>Registre des contrats envoyés (décharges)</t>
        </is>
      </c>
      <c r="D13" s="70" t="inlineStr">
        <is>
          <t>Enregistrement</t>
        </is>
      </c>
      <c r="E13" s="21" t="inlineStr">
        <is>
          <t>Papier</t>
        </is>
      </c>
      <c r="F13" s="70" t="inlineStr">
        <is>
          <t>Direction Administrative et Juridique (DAJ)</t>
        </is>
      </c>
      <c r="G13" s="70" t="inlineStr">
        <is>
          <t>Direction Administrative et Juridique (DAJ)</t>
        </is>
      </c>
      <c r="H13" s="21" t="inlineStr">
        <is>
          <t>6</t>
        </is>
      </c>
      <c r="I13" s="70" t="inlineStr">
        <is>
          <t>DAJ</t>
        </is>
      </c>
      <c r="J13" s="21" t="inlineStr">
        <is>
          <t>À définir</t>
        </is>
      </c>
      <c r="K13" s="21" t="inlineStr">
        <is>
          <t>Oui</t>
        </is>
      </c>
      <c r="L13" s="70" t="inlineStr">
        <is>
          <t>Cahier simple proposé par l'enquêteur</t>
        </is>
      </c>
    </row>
    <row r="14" ht="48.95" customHeight="1" s="63">
      <c r="A14" s="20" t="n">
        <v>6</v>
      </c>
      <c r="B14" s="70" t="inlineStr">
        <is>
          <t>-</t>
        </is>
      </c>
      <c r="C14" s="70" t="inlineStr">
        <is>
          <t>Avenant ou renouvellement</t>
        </is>
      </c>
      <c r="D14" s="70" t="inlineStr">
        <is>
          <t>Enregistrement</t>
        </is>
      </c>
      <c r="E14" s="21" t="inlineStr">
        <is>
          <t>Papier + électronique</t>
        </is>
      </c>
      <c r="F14" s="70" t="inlineStr">
        <is>
          <t>Direction Administrative et Juridique (DAJ)</t>
        </is>
      </c>
      <c r="G14" s="70" t="inlineStr">
        <is>
          <t>Client ou fournisseur</t>
        </is>
      </c>
      <c r="H14" s="21" t="inlineStr">
        <is>
          <t>9</t>
        </is>
      </c>
      <c r="I14" s="70" t="inlineStr">
        <is>
          <t>Chrono du DAJ</t>
        </is>
      </c>
      <c r="J14" s="21" t="inlineStr">
        <is>
          <t>À définir</t>
        </is>
      </c>
      <c r="K14" s="21" t="inlineStr">
        <is>
          <t>Oui</t>
        </is>
      </c>
      <c r="L14" s="70" t="inlineStr">
        <is>
          <t>Acte juridique : référencé dans le fichier de suivi des contrats</t>
        </is>
      </c>
    </row>
    <row r="15" ht="18.95" customHeight="1" s="63">
      <c r="A15" s="20" t="n">
        <v>7</v>
      </c>
      <c r="B15" s="70" t="n"/>
      <c r="C15" s="70" t="n"/>
      <c r="D15" s="70" t="n"/>
      <c r="E15" s="21" t="n"/>
      <c r="F15" s="70" t="n"/>
      <c r="G15" s="70" t="n"/>
      <c r="H15" s="21" t="n"/>
      <c r="I15" s="70" t="n"/>
      <c r="J15" s="21" t="n"/>
      <c r="K15" s="21" t="n"/>
      <c r="L15" s="70" t="n"/>
    </row>
    <row r="16" ht="18.95" customHeight="1" s="63">
      <c r="A16" s="20" t="n">
        <v>8</v>
      </c>
      <c r="B16" s="70" t="n"/>
      <c r="C16" s="70" t="n"/>
      <c r="D16" s="70" t="n"/>
      <c r="E16" s="21" t="n"/>
      <c r="F16" s="70" t="n"/>
      <c r="G16" s="70" t="n"/>
      <c r="H16" s="21" t="n"/>
      <c r="I16" s="70" t="n"/>
      <c r="J16" s="21" t="n"/>
      <c r="K16" s="21" t="n"/>
      <c r="L16" s="70" t="n"/>
    </row>
    <row r="17" ht="18.95" customHeight="1" s="63">
      <c r="A17" s="20" t="n">
        <v>9</v>
      </c>
      <c r="B17" s="70" t="n"/>
      <c r="C17" s="70" t="n"/>
      <c r="D17" s="70" t="n"/>
      <c r="E17" s="21" t="n"/>
      <c r="F17" s="70" t="n"/>
      <c r="G17" s="70" t="n"/>
      <c r="H17" s="21" t="n"/>
      <c r="I17" s="70" t="n"/>
      <c r="J17" s="21" t="n"/>
      <c r="K17" s="21" t="n"/>
      <c r="L17" s="70" t="n"/>
    </row>
    <row r="18" ht="18.95" customHeight="1" s="63">
      <c r="A18" s="20" t="n">
        <v>10</v>
      </c>
      <c r="B18" s="70" t="n"/>
      <c r="C18" s="70" t="n"/>
      <c r="D18" s="70" t="n"/>
      <c r="E18" s="21" t="n"/>
      <c r="F18" s="70" t="n"/>
      <c r="G18" s="70" t="n"/>
      <c r="H18" s="21" t="n"/>
      <c r="I18" s="70" t="n"/>
      <c r="J18" s="21" t="n"/>
      <c r="K18" s="21" t="n"/>
      <c r="L18" s="70" t="n"/>
    </row>
    <row r="19" ht="18.95" customHeight="1" s="63">
      <c r="A19" s="20" t="n">
        <v>11</v>
      </c>
      <c r="B19" s="70" t="n"/>
      <c r="C19" s="70" t="n"/>
      <c r="D19" s="70" t="n"/>
      <c r="E19" s="21" t="n"/>
      <c r="F19" s="70" t="n"/>
      <c r="G19" s="70" t="n"/>
      <c r="H19" s="21" t="n"/>
      <c r="I19" s="70" t="n"/>
      <c r="J19" s="21" t="n"/>
      <c r="K19" s="21" t="n"/>
      <c r="L19" s="70" t="n"/>
    </row>
    <row r="20" ht="18.95" customHeight="1" s="63">
      <c r="A20" s="20" t="n">
        <v>12</v>
      </c>
      <c r="B20" s="70" t="n"/>
      <c r="C20" s="70" t="n"/>
      <c r="D20" s="70" t="n"/>
      <c r="E20" s="21" t="n"/>
      <c r="F20" s="70" t="n"/>
      <c r="G20" s="70" t="n"/>
      <c r="H20" s="21" t="n"/>
      <c r="I20" s="70" t="n"/>
      <c r="J20" s="21" t="n"/>
      <c r="K20" s="21" t="n"/>
      <c r="L20" s="70" t="n"/>
    </row>
    <row r="21" ht="18.95" customHeight="1" s="63">
      <c r="A21" s="20" t="n">
        <v>13</v>
      </c>
      <c r="B21" s="70" t="n"/>
      <c r="C21" s="70" t="n"/>
      <c r="D21" s="70" t="n"/>
      <c r="E21" s="21" t="n"/>
      <c r="F21" s="70" t="n"/>
      <c r="G21" s="70" t="n"/>
      <c r="H21" s="21" t="n"/>
      <c r="I21" s="70" t="n"/>
      <c r="J21" s="21" t="n"/>
      <c r="K21" s="21" t="n"/>
      <c r="L21" s="70" t="n"/>
    </row>
    <row r="22" ht="18.95" customHeight="1" s="63">
      <c r="A22" s="20" t="n">
        <v>14</v>
      </c>
      <c r="B22" s="70" t="n"/>
      <c r="C22" s="70" t="n"/>
      <c r="D22" s="70" t="n"/>
      <c r="E22" s="21" t="n"/>
      <c r="F22" s="70" t="n"/>
      <c r="G22" s="70" t="n"/>
      <c r="H22" s="21" t="n"/>
      <c r="I22" s="70" t="n"/>
      <c r="J22" s="21" t="n"/>
      <c r="K22" s="21" t="n"/>
      <c r="L22" s="70" t="n"/>
    </row>
    <row r="23" ht="18.95" customHeight="1" s="63">
      <c r="A23" s="20" t="n">
        <v>15</v>
      </c>
      <c r="B23" s="70" t="n"/>
      <c r="C23" s="70" t="n"/>
      <c r="D23" s="70" t="n"/>
      <c r="E23" s="21" t="n"/>
      <c r="F23" s="70" t="n"/>
      <c r="G23" s="70" t="n"/>
      <c r="H23" s="21" t="n"/>
      <c r="I23" s="70" t="n"/>
      <c r="J23" s="21" t="n"/>
      <c r="K23" s="21" t="n"/>
      <c r="L23" s="70" t="n"/>
    </row>
    <row r="24" ht="18.95" customHeight="1" s="63">
      <c r="A24" s="20" t="n">
        <v>16</v>
      </c>
      <c r="B24" s="70" t="n"/>
      <c r="C24" s="70" t="n"/>
      <c r="D24" s="70" t="n"/>
      <c r="E24" s="21" t="n"/>
      <c r="F24" s="70" t="n"/>
      <c r="G24" s="70" t="n"/>
      <c r="H24" s="21" t="n"/>
      <c r="I24" s="70" t="n"/>
      <c r="J24" s="21" t="n"/>
      <c r="K24" s="21" t="n"/>
      <c r="L24" s="70" t="n"/>
    </row>
    <row r="25" ht="18.95" customHeight="1" s="63">
      <c r="A25" s="20" t="n">
        <v>17</v>
      </c>
      <c r="B25" s="70" t="n"/>
      <c r="C25" s="70" t="n"/>
      <c r="D25" s="70" t="n"/>
      <c r="E25" s="21" t="n"/>
      <c r="F25" s="70" t="n"/>
      <c r="G25" s="70" t="n"/>
      <c r="H25" s="21" t="n"/>
      <c r="I25" s="70" t="n"/>
      <c r="J25" s="21" t="n"/>
      <c r="K25" s="21" t="n"/>
      <c r="L25" s="70" t="n"/>
    </row>
    <row r="26" ht="18.95" customHeight="1" s="63">
      <c r="A26" s="20" t="n">
        <v>18</v>
      </c>
      <c r="B26" s="70" t="n"/>
      <c r="C26" s="70" t="n"/>
      <c r="D26" s="70" t="n"/>
      <c r="E26" s="21" t="n"/>
      <c r="F26" s="70" t="n"/>
      <c r="G26" s="70" t="n"/>
      <c r="H26" s="21" t="n"/>
      <c r="I26" s="70" t="n"/>
      <c r="J26" s="21" t="n"/>
      <c r="K26" s="21" t="n"/>
      <c r="L26" s="70" t="n"/>
    </row>
    <row r="27" ht="18.95" customHeight="1" s="63">
      <c r="A27" s="20" t="n">
        <v>19</v>
      </c>
      <c r="B27" s="70" t="n"/>
      <c r="C27" s="70" t="n"/>
      <c r="D27" s="70" t="n"/>
      <c r="E27" s="21" t="n"/>
      <c r="F27" s="70" t="n"/>
      <c r="G27" s="70" t="n"/>
      <c r="H27" s="21" t="n"/>
      <c r="I27" s="70" t="n"/>
      <c r="J27" s="21" t="n"/>
      <c r="K27" s="21" t="n"/>
      <c r="L27" s="70" t="n"/>
    </row>
    <row r="28" ht="18.95" customHeight="1" s="63">
      <c r="A28" s="20" t="n">
        <v>20</v>
      </c>
      <c r="B28" s="70" t="n"/>
      <c r="C28" s="70" t="n"/>
      <c r="D28" s="70" t="n"/>
      <c r="E28" s="21" t="n"/>
      <c r="F28" s="70" t="n"/>
      <c r="G28" s="70" t="n"/>
      <c r="H28" s="21" t="n"/>
      <c r="I28" s="70" t="n"/>
      <c r="J28" s="21" t="n"/>
      <c r="K28" s="21" t="n"/>
      <c r="L28" s="70" t="n"/>
    </row>
    <row r="29" ht="18.95" customHeight="1" s="63">
      <c r="A29" s="20" t="n">
        <v>21</v>
      </c>
      <c r="B29" s="70" t="n"/>
      <c r="C29" s="70" t="n"/>
      <c r="D29" s="70" t="n"/>
      <c r="E29" s="21" t="n"/>
      <c r="F29" s="70" t="n"/>
      <c r="G29" s="70" t="n"/>
      <c r="H29" s="21" t="n"/>
      <c r="I29" s="70" t="n"/>
      <c r="J29" s="21" t="n"/>
      <c r="K29" s="21" t="n"/>
      <c r="L29" s="70" t="n"/>
    </row>
    <row r="30" ht="18.95" customHeight="1" s="63">
      <c r="A30" s="20" t="n">
        <v>22</v>
      </c>
      <c r="B30" s="70" t="n"/>
      <c r="C30" s="70" t="n"/>
      <c r="D30" s="70" t="n"/>
      <c r="E30" s="21" t="n"/>
      <c r="F30" s="70" t="n"/>
      <c r="G30" s="70" t="n"/>
      <c r="H30" s="21" t="n"/>
      <c r="I30" s="70" t="n"/>
      <c r="J30" s="21" t="n"/>
      <c r="K30" s="21" t="n"/>
      <c r="L30" s="70" t="n"/>
    </row>
    <row r="31" ht="18.95" customHeight="1" s="63">
      <c r="A31" s="20" t="n">
        <v>23</v>
      </c>
      <c r="B31" s="70" t="n"/>
      <c r="C31" s="70" t="n"/>
      <c r="D31" s="70" t="n"/>
      <c r="E31" s="21" t="n"/>
      <c r="F31" s="70" t="n"/>
      <c r="G31" s="70" t="n"/>
      <c r="H31" s="21" t="n"/>
      <c r="I31" s="70" t="n"/>
      <c r="J31" s="21" t="n"/>
      <c r="K31" s="21" t="n"/>
      <c r="L31" s="70" t="n"/>
    </row>
    <row r="32" ht="18.95" customHeight="1" s="63">
      <c r="A32" s="20" t="n">
        <v>24</v>
      </c>
      <c r="B32" s="70" t="n"/>
      <c r="C32" s="70" t="n"/>
      <c r="D32" s="70" t="n"/>
      <c r="E32" s="21" t="n"/>
      <c r="F32" s="70" t="n"/>
      <c r="G32" s="70" t="n"/>
      <c r="H32" s="21" t="n"/>
      <c r="I32" s="70" t="n"/>
      <c r="J32" s="21" t="n"/>
      <c r="K32" s="21" t="n"/>
      <c r="L32" s="70" t="n"/>
    </row>
    <row r="33" ht="18.95" customHeight="1" s="63">
      <c r="A33" s="20" t="n">
        <v>25</v>
      </c>
      <c r="B33" s="70" t="n"/>
      <c r="C33" s="70" t="n"/>
      <c r="D33" s="70" t="n"/>
      <c r="E33" s="21" t="n"/>
      <c r="F33" s="70" t="n"/>
      <c r="G33" s="70" t="n"/>
      <c r="H33" s="21" t="n"/>
      <c r="I33" s="70" t="n"/>
      <c r="J33" s="21" t="n"/>
      <c r="K33" s="21" t="n"/>
      <c r="L33" s="70" t="n"/>
    </row>
    <row r="34" ht="18.95" customHeight="1" s="63">
      <c r="A34" s="20" t="n">
        <v>26</v>
      </c>
      <c r="B34" s="70" t="n"/>
      <c r="C34" s="70" t="n"/>
      <c r="D34" s="70" t="n"/>
      <c r="E34" s="21" t="n"/>
      <c r="F34" s="70" t="n"/>
      <c r="G34" s="70" t="n"/>
      <c r="H34" s="21" t="n"/>
      <c r="I34" s="70" t="n"/>
      <c r="J34" s="21" t="n"/>
      <c r="K34" s="21" t="n"/>
      <c r="L34" s="70" t="n"/>
    </row>
    <row r="35" ht="18.95" customHeight="1" s="63">
      <c r="A35" s="20" t="n">
        <v>27</v>
      </c>
      <c r="B35" s="70" t="n"/>
      <c r="C35" s="70" t="n"/>
      <c r="D35" s="70" t="n"/>
      <c r="E35" s="21" t="n"/>
      <c r="F35" s="70" t="n"/>
      <c r="G35" s="70" t="n"/>
      <c r="H35" s="21" t="n"/>
      <c r="I35" s="70" t="n"/>
      <c r="J35" s="21" t="n"/>
      <c r="K35" s="21" t="n"/>
      <c r="L35" s="70" t="n"/>
    </row>
    <row r="36" ht="18.95" customHeight="1" s="63">
      <c r="A36" s="20" t="n">
        <v>28</v>
      </c>
      <c r="B36" s="70" t="n"/>
      <c r="C36" s="70" t="n"/>
      <c r="D36" s="70" t="n"/>
      <c r="E36" s="21" t="n"/>
      <c r="F36" s="70" t="n"/>
      <c r="G36" s="70" t="n"/>
      <c r="H36" s="21" t="n"/>
      <c r="I36" s="70" t="n"/>
      <c r="J36" s="21" t="n"/>
      <c r="K36" s="21" t="n"/>
      <c r="L36" s="70" t="n"/>
    </row>
    <row r="37" ht="18.95" customHeight="1" s="63">
      <c r="A37" s="20" t="n">
        <v>29</v>
      </c>
      <c r="B37" s="70" t="n"/>
      <c r="C37" s="70" t="n"/>
      <c r="D37" s="70" t="n"/>
      <c r="E37" s="21" t="n"/>
      <c r="F37" s="70" t="n"/>
      <c r="G37" s="70" t="n"/>
      <c r="H37" s="21" t="n"/>
      <c r="I37" s="70" t="n"/>
      <c r="J37" s="21" t="n"/>
      <c r="K37" s="21" t="n"/>
      <c r="L37" s="70" t="n"/>
    </row>
    <row r="38" ht="18.95" customHeight="1" s="63">
      <c r="A38" s="20" t="n">
        <v>30</v>
      </c>
      <c r="B38" s="70" t="n"/>
      <c r="C38" s="70" t="n"/>
      <c r="D38" s="70" t="n"/>
      <c r="E38" s="21" t="n"/>
      <c r="F38" s="70" t="n"/>
      <c r="G38" s="70" t="n"/>
      <c r="H38" s="21" t="n"/>
      <c r="I38" s="70" t="n"/>
      <c r="J38" s="21" t="n"/>
      <c r="K38" s="21" t="n"/>
      <c r="L38" s="70" t="n"/>
    </row>
  </sheetData>
  <mergeCells count="9">
    <mergeCell ref="H6:L6"/>
    <mergeCell ref="K2:L2"/>
    <mergeCell ref="K1:L1"/>
    <mergeCell ref="A1:B4"/>
    <mergeCell ref="C6:F6"/>
    <mergeCell ref="C1:J4"/>
    <mergeCell ref="K4:L4"/>
    <mergeCell ref="A6:B6"/>
    <mergeCell ref="K3:L3"/>
  </mergeCells>
  <dataValidations count="4">
    <dataValidation sqref="D9:D38" showDropDown="0" showInputMessage="0" showErrorMessage="1" allowBlank="1" errorTitle="Valeur non prévue" error="Choisir une valeur dans la liste." type="list">
      <formula1>ListeNature</formula1>
      <formula2>0</formula2>
    </dataValidation>
    <dataValidation sqref="E9:E38" showDropDown="0" showInputMessage="0" showErrorMessage="1" allowBlank="1" errorTitle="Valeur non prévue" error="Choisir une valeur dans la liste." type="list">
      <formula1>ListeSupport</formula1>
      <formula2>0</formula2>
    </dataValidation>
    <dataValidation sqref="K9:K38" showDropDown="0" showInputMessage="0" showErrorMessage="1" allowBlank="1" errorTitle="Valeur non prévue" error="Choisir une valeur dans la liste." type="list">
      <formula1>ListeOuiNon</formula1>
      <formula2>0</formula2>
    </dataValidation>
    <dataValidation sqref="F9:F38" showDropDown="0" showInputMessage="0" showErrorMessage="0" allowBlank="1" errorTitle="Valeur non prévue" error="Choisir une valeur dans la liste." type="list">
      <formula1>ListeRoles</formula1>
      <formula2>0</formula2>
    </dataValidation>
  </dataValidations>
  <pageMargins left="0.4" right="0.4" top="0.5" bottom="0.5" header="0.511811023622047" footer="0.5"/>
  <pageSetup orientation="landscape" paperSize="9" fitToHeight="0" horizontalDpi="300" verticalDpi="300"/>
  <headerFooter>
    <oddHeader/>
    <oddFooter>&amp;LISOPEX C&amp;P — Fiche de collecte Qualigramme&amp;RPage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005A70"/>
    <outlinePr summaryBelow="1" summaryRight="1"/>
    <pageSetUpPr fitToPage="1"/>
  </sheetPr>
  <dimension ref="A1:J31"/>
  <sheetViews>
    <sheetView showGridLines="0" tabSelected="1" topLeftCell="A18" zoomScale="95" zoomScaleNormal="95" workbookViewId="0">
      <selection activeCell="D10" sqref="D10"/>
    </sheetView>
  </sheetViews>
  <sheetFormatPr baseColWidth="10" defaultColWidth="8.7109375" defaultRowHeight="15"/>
  <cols>
    <col width="5" customWidth="1" style="63" min="1" max="1"/>
    <col width="30" customWidth="1" style="63" min="2" max="3"/>
    <col width="14" customWidth="1" style="63" min="4" max="5"/>
    <col width="22" customWidth="1" style="63" min="6" max="6"/>
    <col width="18" customWidth="1" style="63" min="7" max="7"/>
    <col width="16" customWidth="1" style="63" min="8" max="8"/>
    <col width="30" customWidth="1" style="63" min="9" max="9"/>
    <col width="18" customWidth="1" style="63" min="10" max="10"/>
  </cols>
  <sheetData>
    <row r="1" ht="18" customHeight="1" s="63">
      <c r="A1" s="44" t="inlineStr">
        <is>
          <t>[Logo de l'organisation]</t>
        </is>
      </c>
      <c r="B1" s="45" t="n"/>
      <c r="C1" s="55" t="inlineStr">
        <is>
          <t>FICHE DE COLLECTE — INDICATEURS, RISQUES ET OPPORTUNITÉS</t>
        </is>
      </c>
      <c r="D1" s="56" t="n"/>
      <c r="E1" s="56" t="n"/>
      <c r="F1" s="56" t="n"/>
      <c r="G1" s="56" t="n"/>
      <c r="H1" s="45" t="n"/>
      <c r="I1" s="40" t="inlineStr">
        <is>
          <t>Code : FC-QUA-01</t>
        </is>
      </c>
      <c r="J1" s="41" t="n"/>
    </row>
    <row r="2" ht="18" customHeight="1" s="63">
      <c r="A2" s="46" t="n"/>
      <c r="B2" s="47" t="n"/>
      <c r="C2" s="46" t="n"/>
      <c r="H2" s="47" t="n"/>
      <c r="I2" s="40" t="inlineStr">
        <is>
          <t>Version : 01</t>
        </is>
      </c>
      <c r="J2" s="41" t="n"/>
    </row>
    <row r="3" ht="18" customHeight="1" s="63">
      <c r="A3" s="46" t="n"/>
      <c r="B3" s="47" t="n"/>
      <c r="C3" s="46" t="n"/>
      <c r="H3" s="47" t="n"/>
      <c r="I3" s="40" t="inlineStr">
        <is>
          <t>Date : ____/____/______</t>
        </is>
      </c>
      <c r="J3" s="41" t="n"/>
    </row>
    <row r="4" ht="18" customHeight="1" s="63">
      <c r="A4" s="48" t="n"/>
      <c r="B4" s="49" t="n"/>
      <c r="C4" s="48" t="n"/>
      <c r="D4" s="57" t="n"/>
      <c r="E4" s="57" t="n"/>
      <c r="F4" s="57" t="n"/>
      <c r="G4" s="57" t="n"/>
      <c r="H4" s="49" t="n"/>
      <c r="I4" s="40" t="inlineStr">
        <is>
          <t>Page : ___ / ___</t>
        </is>
      </c>
      <c r="J4" s="41" t="n"/>
    </row>
    <row r="5"/>
    <row r="6" ht="18.95" customFormat="1" customHeight="1" s="32">
      <c r="A6" s="68" t="inlineStr">
        <is>
          <t>Organisation :</t>
        </is>
      </c>
      <c r="B6" s="41" t="n"/>
      <c r="C6" s="59">
        <f>Cadrage!E7</f>
        <v/>
      </c>
      <c r="D6" s="43" t="n"/>
      <c r="E6" s="41" t="n"/>
      <c r="F6" s="68" t="inlineStr">
        <is>
          <t>Procédure :</t>
        </is>
      </c>
      <c r="G6" s="59">
        <f>Cadrage!E11</f>
        <v/>
      </c>
      <c r="H6" s="43" t="n"/>
      <c r="I6" s="43" t="n"/>
      <c r="J6" s="41" t="n"/>
    </row>
    <row r="7"/>
    <row r="8" ht="18.95" customHeight="1" s="63">
      <c r="A8" s="42" t="inlineStr">
        <is>
          <t>A. INDICATEURS DE PERFORMANCE DE LA PROCÉDURE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1" t="n"/>
    </row>
    <row r="9" ht="48.95" customHeight="1" s="63">
      <c r="A9" s="19" t="inlineStr">
        <is>
          <t>N°</t>
        </is>
      </c>
      <c r="B9" s="19" t="inlineStr">
        <is>
          <t>Indicateur</t>
        </is>
      </c>
      <c r="C9" s="19" t="inlineStr">
        <is>
          <t>Formule de calcul</t>
        </is>
      </c>
      <c r="D9" s="19" t="inlineStr">
        <is>
          <t>Cible</t>
        </is>
      </c>
      <c r="E9" s="19" t="inlineStr">
        <is>
          <t>Fréquence de mesure</t>
        </is>
      </c>
      <c r="F9" s="19" t="inlineStr">
        <is>
          <t>Source des données</t>
        </is>
      </c>
      <c r="G9" s="19" t="inlineStr">
        <is>
          <t>Responsable de la mesure</t>
        </is>
      </c>
      <c r="H9" s="19" t="inlineStr">
        <is>
          <t>Op. concernée(s)</t>
        </is>
      </c>
      <c r="I9" s="19" t="inlineStr">
        <is>
          <t>Valeur actuelle / constat</t>
        </is>
      </c>
      <c r="J9" s="19" t="inlineStr">
        <is>
          <t>Commentaires</t>
        </is>
      </c>
    </row>
    <row r="10" ht="108.95" customHeight="1" s="63">
      <c r="A10" s="20" t="n">
        <v>1</v>
      </c>
      <c r="B10" s="70" t="inlineStr">
        <is>
          <t>Contrats à renouveler dans les 3 mois</t>
        </is>
      </c>
      <c r="C10" s="70" t="inlineStr">
        <is>
          <t>Nombre de contrats dont l'échéance tombe dans les 3 mois</t>
        </is>
      </c>
      <c r="D10" s="70" t="inlineStr">
        <is>
          <t>À définir</t>
        </is>
      </c>
      <c r="E10" s="70" t="inlineStr">
        <is>
          <t>Mensuelle</t>
        </is>
      </c>
      <c r="F10" s="70" t="inlineStr">
        <is>
          <t>Fichier de suivi des contrats</t>
        </is>
      </c>
      <c r="G10" s="70" t="inlineStr">
        <is>
          <t>Direction Administrative et Juridique (DAJ)</t>
        </is>
      </c>
      <c r="H10" s="70" t="inlineStr">
        <is>
          <t>8</t>
        </is>
      </c>
      <c r="I10" s="70" t="n"/>
      <c r="J10" s="70" t="n"/>
    </row>
    <row r="11" ht="78.95" customHeight="1" s="63">
      <c r="A11" s="20" t="n">
        <v>2</v>
      </c>
      <c r="B11" s="70" t="inlineStr">
        <is>
          <t>Contrats signés avec visa du DAJ</t>
        </is>
      </c>
      <c r="C11" s="70" t="inlineStr">
        <is>
          <t>Contrats visés / contrats signés × 100</t>
        </is>
      </c>
      <c r="D11" s="70" t="inlineStr">
        <is>
          <t>À définir</t>
        </is>
      </c>
      <c r="E11" s="70" t="inlineStr">
        <is>
          <t>Annuelle</t>
        </is>
      </c>
      <c r="F11" s="70" t="inlineStr">
        <is>
          <t>Fichier de suivi</t>
        </is>
      </c>
      <c r="G11" s="70" t="inlineStr">
        <is>
          <t>Direction Administrative et Juridique (DAJ)</t>
        </is>
      </c>
      <c r="H11" s="70" t="inlineStr">
        <is>
          <t>4,5</t>
        </is>
      </c>
      <c r="I11" s="70" t="inlineStr">
        <is>
          <t>Règle : pas de signature sans cachet</t>
        </is>
      </c>
      <c r="J11" s="70" t="n"/>
    </row>
    <row r="12" ht="78.95" customHeight="1" s="63">
      <c r="A12" s="20" t="n">
        <v>3</v>
      </c>
      <c r="B12" s="70" t="inlineStr">
        <is>
          <t>Délai de préparation d'un contrat</t>
        </is>
      </c>
      <c r="C12" s="70" t="inlineStr">
        <is>
          <t>Date de signature − date de la demande</t>
        </is>
      </c>
      <c r="D12" s="70" t="inlineStr">
        <is>
          <t>À définir</t>
        </is>
      </c>
      <c r="E12" s="70" t="inlineStr">
        <is>
          <t>Par contrat</t>
        </is>
      </c>
      <c r="F12" s="70" t="inlineStr">
        <is>
          <t>Fichier de suivi</t>
        </is>
      </c>
      <c r="G12" s="70" t="inlineStr">
        <is>
          <t>Direction Administrative et Juridique (DAJ)</t>
        </is>
      </c>
      <c r="H12" s="70" t="inlineStr">
        <is>
          <t>1 à 5</t>
        </is>
      </c>
      <c r="I12" s="70" t="n"/>
      <c r="J12" s="70" t="n"/>
    </row>
    <row r="13" ht="18.95" customHeight="1" s="63">
      <c r="A13" s="20" t="n">
        <v>4</v>
      </c>
      <c r="B13" s="70" t="n"/>
      <c r="C13" s="70" t="n"/>
      <c r="D13" s="70" t="n"/>
      <c r="E13" s="70" t="n"/>
      <c r="F13" s="70" t="n"/>
      <c r="G13" s="70" t="n"/>
      <c r="H13" s="70" t="n"/>
      <c r="I13" s="70" t="n"/>
      <c r="J13" s="70" t="n"/>
    </row>
    <row r="14" ht="18.95" customHeight="1" s="63">
      <c r="A14" s="20" t="n">
        <v>5</v>
      </c>
      <c r="B14" s="70" t="n"/>
      <c r="C14" s="70" t="n"/>
      <c r="D14" s="70" t="n"/>
      <c r="E14" s="70" t="n"/>
      <c r="F14" s="70" t="n"/>
      <c r="G14" s="70" t="n"/>
      <c r="H14" s="70" t="n"/>
      <c r="I14" s="70" t="n"/>
      <c r="J14" s="70" t="n"/>
    </row>
    <row r="15" ht="18.95" customHeight="1" s="63">
      <c r="A15" s="20" t="n">
        <v>6</v>
      </c>
      <c r="B15" s="70" t="n"/>
      <c r="C15" s="70" t="n"/>
      <c r="D15" s="70" t="n"/>
      <c r="E15" s="70" t="n"/>
      <c r="F15" s="70" t="n"/>
      <c r="G15" s="70" t="n"/>
      <c r="H15" s="70" t="n"/>
      <c r="I15" s="70" t="n"/>
      <c r="J15" s="70" t="n"/>
    </row>
    <row r="16" ht="18.95" customHeight="1" s="63">
      <c r="A16" s="20" t="n">
        <v>7</v>
      </c>
      <c r="B16" s="70" t="n"/>
      <c r="C16" s="70" t="n"/>
      <c r="D16" s="70" t="n"/>
      <c r="E16" s="70" t="n"/>
      <c r="F16" s="70" t="n"/>
      <c r="G16" s="70" t="n"/>
      <c r="H16" s="70" t="n"/>
      <c r="I16" s="70" t="n"/>
      <c r="J16" s="70" t="n"/>
    </row>
    <row r="17" ht="18.95" customHeight="1" s="63">
      <c r="A17" s="20" t="n">
        <v>8</v>
      </c>
      <c r="B17" s="70" t="n"/>
      <c r="C17" s="70" t="n"/>
      <c r="D17" s="70" t="n"/>
      <c r="E17" s="70" t="n"/>
      <c r="F17" s="70" t="n"/>
      <c r="G17" s="70" t="n"/>
      <c r="H17" s="70" t="n"/>
      <c r="I17" s="70" t="n"/>
      <c r="J17" s="70" t="n"/>
    </row>
    <row r="18"/>
    <row r="19" ht="18.95" customHeight="1" s="63">
      <c r="A19" s="42" t="inlineStr">
        <is>
          <t>B. RISQUES ET OPPORTUNITÉS (cotation 1 = faible à 4 = très élevé ; criticité = G × P)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1" t="n"/>
    </row>
    <row r="20" ht="33.95" customFormat="1" customHeight="1" s="26">
      <c r="A20" s="19" t="inlineStr">
        <is>
          <t>N°</t>
        </is>
      </c>
      <c r="B20" s="33" t="inlineStr">
        <is>
          <t>Risque / opportunité</t>
        </is>
      </c>
      <c r="C20" s="33" t="inlineStr">
        <is>
          <t>Cause(s)</t>
        </is>
      </c>
      <c r="D20" s="19" t="inlineStr">
        <is>
          <t>Gravité (G)</t>
        </is>
      </c>
      <c r="E20" s="19" t="inlineStr">
        <is>
          <t>Probabilité (P)</t>
        </is>
      </c>
      <c r="F20" s="33" t="inlineStr">
        <is>
          <t>Conséquence(s)</t>
        </is>
      </c>
      <c r="G20" s="33" t="inlineStr">
        <is>
          <t>Op. concernée(s)</t>
        </is>
      </c>
      <c r="H20" s="19" t="inlineStr">
        <is>
          <t>Criticité (G × P)</t>
        </is>
      </c>
      <c r="I20" s="33" t="inlineStr">
        <is>
          <t>Mesure de maîtrise existante / à prévoir</t>
        </is>
      </c>
      <c r="J20" s="33" t="inlineStr">
        <is>
          <t>Responsable</t>
        </is>
      </c>
    </row>
    <row r="21" ht="63.95" customHeight="1" s="63">
      <c r="A21" s="20" t="n">
        <v>1</v>
      </c>
      <c r="B21" s="70" t="inlineStr">
        <is>
          <t>Échéance de renouvellement oubliée</t>
        </is>
      </c>
      <c r="C21" s="70" t="inlineStr">
        <is>
          <t>Suivi manuel par une seule personne</t>
        </is>
      </c>
      <c r="D21" s="21" t="inlineStr">
        <is>
          <t>3</t>
        </is>
      </c>
      <c r="E21" s="21" t="inlineStr">
        <is>
          <t>3</t>
        </is>
      </c>
      <c r="F21" s="70" t="inlineStr">
        <is>
          <t>Perte du contrat ou reconduction non voulue</t>
        </is>
      </c>
      <c r="G21" s="70" t="inlineStr">
        <is>
          <t>8</t>
        </is>
      </c>
      <c r="H21" s="22">
        <f>IF(OR(D21="",E21=""),"",VALUE(D21)*VALUE(E21))</f>
        <v/>
      </c>
      <c r="I21" s="70" t="inlineStr">
        <is>
          <t>Fichier de suivi ; alerte 2, 3 ou 6 mois</t>
        </is>
      </c>
      <c r="J21" s="70" t="inlineStr">
        <is>
          <t>Direction Administrative et Juridique (DAJ)</t>
        </is>
      </c>
    </row>
    <row r="22" ht="33.95" customHeight="1" s="63">
      <c r="A22" s="20" t="n">
        <v>2</v>
      </c>
      <c r="B22" s="70" t="inlineStr">
        <is>
          <t>Contrat signé sans visa du DAJ</t>
        </is>
      </c>
      <c r="C22" s="70" t="inlineStr">
        <is>
          <t>Circuit contourné</t>
        </is>
      </c>
      <c r="D22" s="21" t="inlineStr">
        <is>
          <t>3</t>
        </is>
      </c>
      <c r="E22" s="21" t="inlineStr">
        <is>
          <t>2</t>
        </is>
      </c>
      <c r="F22" s="70" t="inlineStr">
        <is>
          <t>Clauses non contrôlées</t>
        </is>
      </c>
      <c r="G22" s="70" t="inlineStr">
        <is>
          <t>4,5</t>
        </is>
      </c>
      <c r="H22" s="22">
        <f>IF(OR(D22="",E22=""),"",VALUE(D22)*VALUE(E22))</f>
        <v/>
      </c>
      <c r="I22" s="70" t="inlineStr">
        <is>
          <t>Règle du cachet de visa</t>
        </is>
      </c>
      <c r="J22" s="70" t="inlineStr">
        <is>
          <t>Direction Générale</t>
        </is>
      </c>
    </row>
    <row r="23" ht="63.95" customHeight="1" s="63">
      <c r="A23" s="20" t="n">
        <v>3</v>
      </c>
      <c r="B23" s="70" t="inlineStr">
        <is>
          <t>Cahier des charges incomplet</t>
        </is>
      </c>
      <c r="C23" s="70" t="inlineStr">
        <is>
          <t>Éléments techniques non fournis</t>
        </is>
      </c>
      <c r="D23" s="21" t="inlineStr">
        <is>
          <t>3</t>
        </is>
      </c>
      <c r="E23" s="21" t="inlineStr">
        <is>
          <t>2</t>
        </is>
      </c>
      <c r="F23" s="70" t="inlineStr">
        <is>
          <t>Contrat inadapté au besoin</t>
        </is>
      </c>
      <c r="G23" s="70" t="inlineStr">
        <is>
          <t>1,2</t>
        </is>
      </c>
      <c r="H23" s="22">
        <f>IF(OR(D23="",E23=""),"",VALUE(D23)*VALUE(E23))</f>
        <v/>
      </c>
      <c r="I23" s="70" t="inlineStr">
        <is>
          <t>Service demandeur impliqué dès la rédaction</t>
        </is>
      </c>
      <c r="J23" s="70" t="inlineStr">
        <is>
          <t>Service demandeur</t>
        </is>
      </c>
    </row>
    <row r="24" ht="48.95" customHeight="1" s="63">
      <c r="A24" s="20" t="n">
        <v>4</v>
      </c>
      <c r="B24" s="70" t="inlineStr">
        <is>
          <t>Perte de la preuve de remise</t>
        </is>
      </c>
      <c r="C24" s="70" t="inlineStr">
        <is>
          <t>Envoi sans décharge</t>
        </is>
      </c>
      <c r="D24" s="21" t="inlineStr">
        <is>
          <t>2</t>
        </is>
      </c>
      <c r="E24" s="21" t="inlineStr">
        <is>
          <t>2</t>
        </is>
      </c>
      <c r="F24" s="70" t="inlineStr">
        <is>
          <t>Contestation de la remise</t>
        </is>
      </c>
      <c r="G24" s="70" t="inlineStr">
        <is>
          <t>6</t>
        </is>
      </c>
      <c r="H24" s="22">
        <f>IF(OR(D24="",E24=""),"",VALUE(D24)*VALUE(E24))</f>
        <v/>
      </c>
      <c r="I24" s="70" t="inlineStr">
        <is>
          <t>Fiche de décharge ou registre d'envoi</t>
        </is>
      </c>
      <c r="J24" s="70" t="inlineStr">
        <is>
          <t>Direction Administrative et Juridique (DAJ)</t>
        </is>
      </c>
    </row>
    <row r="25" ht="93.95" customHeight="1" s="63">
      <c r="A25" s="20" t="n">
        <v>5</v>
      </c>
      <c r="B25" s="70" t="inlineStr">
        <is>
          <t>Dépendance à une seule personne</t>
        </is>
      </c>
      <c r="C25" s="70" t="inlineStr">
        <is>
          <t>Le DAJ gère seul : « pour l'instant, c'est moi »</t>
        </is>
      </c>
      <c r="D25" s="21" t="inlineStr">
        <is>
          <t>3</t>
        </is>
      </c>
      <c r="E25" s="21" t="inlineStr">
        <is>
          <t>3</t>
        </is>
      </c>
      <c r="F25" s="70" t="inlineStr">
        <is>
          <t>Rupture de continuité en cas d'absence</t>
        </is>
      </c>
      <c r="G25" s="70" t="inlineStr">
        <is>
          <t>1 à 9</t>
        </is>
      </c>
      <c r="H25" s="22">
        <f>IF(OR(D25="",E25=""),"",VALUE(D25)*VALUE(E25))</f>
        <v/>
      </c>
      <c r="I25" s="70" t="inlineStr">
        <is>
          <t>Équipe en cours de constitution ; partage des fichiers</t>
        </is>
      </c>
      <c r="J25" s="70" t="inlineStr">
        <is>
          <t>Direction Générale</t>
        </is>
      </c>
    </row>
    <row r="26" ht="18.95" customHeight="1" s="63">
      <c r="A26" s="20" t="n">
        <v>6</v>
      </c>
      <c r="B26" s="70" t="n"/>
      <c r="C26" s="70" t="n"/>
      <c r="D26" s="21" t="n"/>
      <c r="E26" s="21" t="n"/>
      <c r="F26" s="70" t="n"/>
      <c r="G26" s="70" t="n"/>
      <c r="H26" s="22">
        <f>IF(OR(D26="",E26=""),"",VALUE(D26)*VALUE(E26))</f>
        <v/>
      </c>
      <c r="I26" s="70" t="n"/>
      <c r="J26" s="70" t="n"/>
    </row>
    <row r="27" ht="18.95" customHeight="1" s="63">
      <c r="A27" s="20" t="n">
        <v>7</v>
      </c>
      <c r="B27" s="70" t="n"/>
      <c r="C27" s="70" t="n"/>
      <c r="D27" s="21" t="n"/>
      <c r="E27" s="21" t="n"/>
      <c r="F27" s="70" t="n"/>
      <c r="G27" s="70" t="n"/>
      <c r="H27" s="22">
        <f>IF(OR(D27="",E27=""),"",VALUE(D27)*VALUE(E27))</f>
        <v/>
      </c>
      <c r="I27" s="70" t="n"/>
      <c r="J27" s="70" t="n"/>
    </row>
    <row r="28" ht="18.95" customHeight="1" s="63">
      <c r="A28" s="20" t="n">
        <v>8</v>
      </c>
      <c r="B28" s="70" t="n"/>
      <c r="C28" s="70" t="n"/>
      <c r="D28" s="21" t="n"/>
      <c r="E28" s="21" t="n"/>
      <c r="F28" s="70" t="n"/>
      <c r="G28" s="70" t="n"/>
      <c r="H28" s="22">
        <f>IF(OR(D28="",E28=""),"",VALUE(D28)*VALUE(E28))</f>
        <v/>
      </c>
      <c r="I28" s="70" t="n"/>
      <c r="J28" s="70" t="n"/>
    </row>
    <row r="29" ht="18.95" customHeight="1" s="63">
      <c r="A29" s="20" t="n">
        <v>9</v>
      </c>
      <c r="B29" s="70" t="n"/>
      <c r="C29" s="70" t="n"/>
      <c r="D29" s="21" t="n"/>
      <c r="E29" s="21" t="n"/>
      <c r="F29" s="70" t="n"/>
      <c r="G29" s="70" t="n"/>
      <c r="H29" s="22">
        <f>IF(OR(D29="",E29=""),"",VALUE(D29)*VALUE(E29))</f>
        <v/>
      </c>
      <c r="I29" s="70" t="n"/>
      <c r="J29" s="70" t="n"/>
    </row>
    <row r="30" ht="18.95" customHeight="1" s="63">
      <c r="A30" s="20" t="n">
        <v>10</v>
      </c>
      <c r="B30" s="70" t="n"/>
      <c r="C30" s="70" t="n"/>
      <c r="D30" s="21" t="n"/>
      <c r="E30" s="21" t="n"/>
      <c r="F30" s="70" t="n"/>
      <c r="G30" s="70" t="n"/>
      <c r="H30" s="22">
        <f>IF(OR(D30="",E30=""),"",VALUE(D30)*VALUE(E30))</f>
        <v/>
      </c>
      <c r="I30" s="70" t="n"/>
      <c r="J30" s="70" t="n"/>
    </row>
    <row r="31" ht="18.95" customHeight="1" s="63">
      <c r="A31" s="72" t="inlineStr">
        <is>
          <t>Seuils de criticité : 1-3 acceptable (vert) · 4-8 à surveiller, mesure de maîtrise à formaliser (orange) · 9-16 inacceptable, contrôle à intégrer dans la procédure (rouge).</t>
        </is>
      </c>
    </row>
  </sheetData>
  <mergeCells count="12">
    <mergeCell ref="G6:J6"/>
    <mergeCell ref="I4:J4"/>
    <mergeCell ref="A8:J8"/>
    <mergeCell ref="C1:H4"/>
    <mergeCell ref="A31:J31"/>
    <mergeCell ref="I2:J2"/>
    <mergeCell ref="A1:B4"/>
    <mergeCell ref="C6:E6"/>
    <mergeCell ref="A6:B6"/>
    <mergeCell ref="I1:J1"/>
    <mergeCell ref="A19:J19"/>
    <mergeCell ref="I3:J3"/>
  </mergeCells>
  <conditionalFormatting sqref="H21:H30">
    <cfRule type="cellIs" priority="2" operator="greaterThanOrEqual" dxfId="4">
      <formula>9</formula>
    </cfRule>
    <cfRule type="cellIs" priority="3" operator="between" dxfId="3">
      <formula>4</formula>
      <formula>8</formula>
    </cfRule>
    <cfRule type="cellIs" priority="4" operator="between" dxfId="2">
      <formula>1</formula>
      <formula>3</formula>
    </cfRule>
  </conditionalFormatting>
  <dataValidations count="1">
    <dataValidation sqref="D21:E30" showDropDown="0" showInputMessage="0" showErrorMessage="1" allowBlank="1" errorTitle="Valeur non prévue" error="Choisir une valeur dans la liste." type="list">
      <formula1>ListeCote</formula1>
      <formula2>0</formula2>
    </dataValidation>
  </dataValidations>
  <pageMargins left="0.4" right="0.4" top="0.5" bottom="0.5" header="0.511811023622047" footer="0.5"/>
  <pageSetup orientation="landscape" paperSize="9" fitToHeight="0" horizontalDpi="300" verticalDpi="300"/>
  <headerFooter>
    <oddHeader/>
    <oddFooter>&amp;LISOPEX C&amp;P — Fiche de collecte Qualigramme&amp;RPage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005A70"/>
    <outlinePr summaryBelow="1" summaryRight="1"/>
    <pageSetUpPr fitToPage="1"/>
  </sheetPr>
  <dimension ref="A1:E41"/>
  <sheetViews>
    <sheetView showGridLines="0" zoomScale="146" zoomScaleNormal="146" workbookViewId="0">
      <selection activeCell="B42" sqref="B42"/>
    </sheetView>
  </sheetViews>
  <sheetFormatPr baseColWidth="10" defaultColWidth="8.7109375" defaultRowHeight="15"/>
  <cols>
    <col width="5" customWidth="1" style="63" min="1" max="1"/>
    <col width="52" customWidth="1" style="63" min="2" max="2"/>
    <col width="14" customWidth="1" style="63" min="3" max="3"/>
    <col width="16" customWidth="1" style="63" min="4" max="4"/>
    <col width="40" customWidth="1" style="63" min="5" max="5"/>
  </cols>
  <sheetData>
    <row r="1" ht="18" customHeight="1" s="63">
      <c r="A1" s="44" t="inlineStr">
        <is>
          <t>[Logo de l'organisation]</t>
        </is>
      </c>
      <c r="B1" s="45" t="n"/>
      <c r="C1" s="51" t="inlineStr">
        <is>
          <t>SYNTHÈSE — CONTRÔLE DE COMPLÉTUDE ET VALIDATION</t>
        </is>
      </c>
      <c r="D1" s="40" t="inlineStr">
        <is>
          <t>Code : FC-QUA-01</t>
        </is>
      </c>
      <c r="E1" s="41" t="n"/>
    </row>
    <row r="2" ht="18" customHeight="1" s="63">
      <c r="A2" s="46" t="n"/>
      <c r="B2" s="47" t="n"/>
      <c r="C2" s="52" t="n"/>
      <c r="D2" s="40" t="inlineStr">
        <is>
          <t>Version : 01</t>
        </is>
      </c>
      <c r="E2" s="41" t="n"/>
    </row>
    <row r="3" ht="18" customHeight="1" s="63">
      <c r="A3" s="46" t="n"/>
      <c r="B3" s="47" t="n"/>
      <c r="C3" s="52" t="n"/>
      <c r="D3" s="40" t="inlineStr">
        <is>
          <t>Date : ____/____/______</t>
        </is>
      </c>
      <c r="E3" s="41" t="n"/>
    </row>
    <row r="4" ht="18" customHeight="1" s="63">
      <c r="A4" s="48" t="n"/>
      <c r="B4" s="49" t="n"/>
      <c r="C4" s="53" t="n"/>
      <c r="D4" s="40" t="inlineStr">
        <is>
          <t>Page : ___ / ___</t>
        </is>
      </c>
      <c r="E4" s="41" t="n"/>
    </row>
    <row r="5"/>
    <row r="6" ht="18.95" customHeight="1" s="63">
      <c r="A6" s="42" t="inlineStr">
        <is>
          <t>A. CONTRÔLE AUTOMATIQUE DE COMPLÉTUDE (avant rédaction Qualigramme)</t>
        </is>
      </c>
      <c r="B6" s="43" t="n"/>
      <c r="C6" s="43" t="n"/>
      <c r="D6" s="43" t="n"/>
      <c r="E6" s="41" t="n"/>
    </row>
    <row r="7" ht="18.95" customHeight="1" s="63">
      <c r="A7" s="8" t="inlineStr">
        <is>
          <t>N°</t>
        </is>
      </c>
      <c r="B7" s="8" t="inlineStr">
        <is>
          <t>Point de contrôle</t>
        </is>
      </c>
      <c r="C7" s="8" t="inlineStr">
        <is>
          <t>Résultat</t>
        </is>
      </c>
      <c r="D7" s="8" t="inlineStr">
        <is>
          <t>Statut</t>
        </is>
      </c>
      <c r="E7" s="8" t="inlineStr">
        <is>
          <t>Action si non conforme</t>
        </is>
      </c>
    </row>
    <row r="8" ht="18.95" customHeight="1" s="63">
      <c r="A8" s="18" t="n">
        <v>1</v>
      </c>
      <c r="B8" s="34" t="inlineStr">
        <is>
          <t>Nombre d'opérations saisies</t>
        </is>
      </c>
      <c r="C8" s="23">
        <f>COUNTA(Procedure_N2!C10:C59)</f>
        <v/>
      </c>
      <c r="D8" s="23" t="inlineStr">
        <is>
          <t>—</t>
        </is>
      </c>
      <c r="E8" s="35" t="inlineStr">
        <is>
          <t>—</t>
        </is>
      </c>
    </row>
    <row r="9" ht="33.95" customHeight="1" s="63">
      <c r="A9" s="18" t="n">
        <v>2</v>
      </c>
      <c r="B9" s="34" t="inlineStr">
        <is>
          <t>Événement déclencheur (Début) identifié</t>
        </is>
      </c>
      <c r="C9" s="23" t="n">
        <v>1</v>
      </c>
      <c r="D9" s="23">
        <f>IF(C9&gt;=1,"OK","À traiter")</f>
        <v/>
      </c>
      <c r="E9" s="35" t="inlineStr">
        <is>
          <t>Identifier l'événement qui lance la procédure</t>
        </is>
      </c>
    </row>
    <row r="10" ht="33.95" customHeight="1" s="63">
      <c r="A10" s="18" t="n">
        <v>3</v>
      </c>
      <c r="B10" s="34" t="inlineStr">
        <is>
          <t>Résultat final (Fin) identifié</t>
        </is>
      </c>
      <c r="C10" s="23" t="n">
        <v>1</v>
      </c>
      <c r="D10" s="23">
        <f>IF(C10&gt;=1,"OK","À traiter")</f>
        <v/>
      </c>
      <c r="E10" s="35" t="inlineStr">
        <is>
          <t>Identifier le résultat qui clôt la procédure</t>
        </is>
      </c>
    </row>
    <row r="11" ht="33.95" customHeight="1" s="63">
      <c r="A11" s="18" t="n">
        <v>4</v>
      </c>
      <c r="B11" s="34" t="inlineStr">
        <is>
          <t>Opérations sans symbole Qualigramme</t>
        </is>
      </c>
      <c r="C11" s="23">
        <f>SUMPRODUCT((Procedure_N2!C10:C59&lt;&gt;"")*(Procedure_N2!D10:D59=""))</f>
        <v/>
      </c>
      <c r="D11" s="23">
        <f>IF(C11=0,"OK","À traiter")</f>
        <v/>
      </c>
      <c r="E11" s="35" t="inlineStr">
        <is>
          <t>Qualifier chaque opération (instruction, décision…)</t>
        </is>
      </c>
    </row>
    <row r="12" ht="18.95" customHeight="1" s="63">
      <c r="A12" s="18" t="n">
        <v>5</v>
      </c>
      <c r="B12" s="34" t="inlineStr">
        <is>
          <t>Opérations sans acteur responsable</t>
        </is>
      </c>
      <c r="C12" s="23">
        <f>SUMPRODUCT((Procedure_N2!C10:C59&lt;&gt;"")*(Procedure_N2!E10:E59=""))</f>
        <v/>
      </c>
      <c r="D12" s="23">
        <f>IF(C12=0,"OK","À traiter")</f>
        <v/>
      </c>
      <c r="E12" s="35" t="inlineStr">
        <is>
          <t>Désigner un rôle unique qui exécute</t>
        </is>
      </c>
    </row>
    <row r="13" ht="33.95" customHeight="1" s="63">
      <c r="A13" s="18" t="n">
        <v>6</v>
      </c>
      <c r="B13" s="34" t="inlineStr">
        <is>
          <t>Instructions sans élément de sortie</t>
        </is>
      </c>
      <c r="C13" s="23">
        <f>SUMPRODUCT((Procedure_N2!D10:D59="Instruction (tâche)")*(Procedure_N2!K10:K59=""))</f>
        <v/>
      </c>
      <c r="D13" s="23">
        <f>IF(C13=0,"OK","À traiter")</f>
        <v/>
      </c>
      <c r="E13" s="35" t="inlineStr">
        <is>
          <t>Préciser le résultat produit par l'opération</t>
        </is>
      </c>
    </row>
    <row r="14" ht="33.95" customHeight="1" s="63">
      <c r="A14" s="18" t="n">
        <v>7</v>
      </c>
      <c r="B14" s="34" t="inlineStr">
        <is>
          <t>Sorties sans client (destinataire)</t>
        </is>
      </c>
      <c r="C14" s="23">
        <f>SUMPRODUCT((Procedure_N2!K10:K59&lt;&gt;"")*(Procedure_N2!L10:L59=""))</f>
        <v/>
      </c>
      <c r="D14" s="23">
        <f>IF(C14=0,"OK","À traiter")</f>
        <v/>
      </c>
      <c r="E14" s="35" t="inlineStr">
        <is>
          <t>Identifier le destinataire de chaque sortie</t>
        </is>
      </c>
    </row>
    <row r="15" ht="33.95" customHeight="1" s="63">
      <c r="A15" s="18" t="n">
        <v>8</v>
      </c>
      <c r="B15" s="34" t="inlineStr">
        <is>
          <t>Décisions sans question ou branche Oui/Non</t>
        </is>
      </c>
      <c r="C15" s="23">
        <f>SUMPRODUCT((Procedure_N2!D10:D59="Décision / Alternative (Ou)")*(((Procedure_N2!P10:P59="")+(Procedure_N2!Q10:Q59="")+(Procedure_N2!R10:R59=""))&gt;0))</f>
        <v/>
      </c>
      <c r="D15" s="23">
        <f>IF(C15=0,"OK","À traiter")</f>
        <v/>
      </c>
      <c r="E15" s="35" t="inlineStr">
        <is>
          <t>Formuler la question fermée et les deux branches</t>
        </is>
      </c>
    </row>
    <row r="16" ht="33.95" customHeight="1" s="63">
      <c r="A16" s="18" t="n">
        <v>9</v>
      </c>
      <c r="B16" s="34" t="inlineStr">
        <is>
          <t>Opérations à détailler en N3 sans code IT</t>
        </is>
      </c>
      <c r="C16" s="23">
        <f>SUMPRODUCT((Procedure_N2!T10:T59="Oui")*(Procedure_N2!U10:U59=""))</f>
        <v/>
      </c>
      <c r="D16" s="23">
        <f>IF(C16=0,"OK","À traiter")</f>
        <v/>
      </c>
      <c r="E16" s="35" t="inlineStr">
        <is>
          <t>Attribuer un code IT et remplir un onglet IT_N3</t>
        </is>
      </c>
    </row>
    <row r="17" ht="18.95" customHeight="1" s="63">
      <c r="A17" s="18" t="n">
        <v>10</v>
      </c>
      <c r="B17" s="34" t="inlineStr">
        <is>
          <t>Opérations « À confirmer » ou « À compléter »</t>
        </is>
      </c>
      <c r="C17" s="23">
        <f>COUNTIF(Procedure_N2!Z10:Z59,"À confirmer")+COUNTIF(Procedure_N2!Z10:Z59,"À compléter")</f>
        <v/>
      </c>
      <c r="D17" s="23">
        <f>IF(C17=0,"OK","À traiter")</f>
        <v/>
      </c>
      <c r="E17" s="35" t="inlineStr">
        <is>
          <t>Lever les points ouverts avec les acteurs</t>
        </is>
      </c>
    </row>
    <row r="18" ht="18.95" customHeight="1" s="63">
      <c r="A18" s="18" t="n">
        <v>11</v>
      </c>
      <c r="B18" s="34" t="inlineStr">
        <is>
          <t>Rôles recensés (Acteurs)</t>
        </is>
      </c>
      <c r="C18" s="23">
        <f>COUNTA(Acteurs!C9:C38)</f>
        <v/>
      </c>
      <c r="D18" s="23">
        <f>IF(C18&gt;=1,"OK","À traiter")</f>
        <v/>
      </c>
      <c r="E18" s="35" t="inlineStr">
        <is>
          <t>Recenser les rôles avant le déroulé</t>
        </is>
      </c>
    </row>
    <row r="19" ht="18.95" customHeight="1" s="63">
      <c r="A19" s="18" t="n">
        <v>12</v>
      </c>
      <c r="B19" s="34" t="inlineStr">
        <is>
          <t>Documents recensés (Documents)</t>
        </is>
      </c>
      <c r="C19" s="23">
        <f>COUNTA(Documents!C9:C38)</f>
        <v/>
      </c>
      <c r="D19" s="23">
        <f>IF(C19&gt;=1,"OK","À traiter")</f>
        <v/>
      </c>
      <c r="E19" s="35" t="inlineStr">
        <is>
          <t>Inventorier formulaires et enregistrements</t>
        </is>
      </c>
    </row>
    <row r="20" ht="33.95" customHeight="1" s="63">
      <c r="A20" s="18" t="n">
        <v>13</v>
      </c>
      <c r="B20" s="34" t="inlineStr">
        <is>
          <t>Documents dont le modèle n'est pas collecté</t>
        </is>
      </c>
      <c r="C20" s="23">
        <f>COUNTIF(Documents!K9:K38,"Non")</f>
        <v/>
      </c>
      <c r="D20" s="23">
        <f>IF(C20=0,"OK","À traiter")</f>
        <v/>
      </c>
      <c r="E20" s="35" t="inlineStr">
        <is>
          <t>Récupérer un exemplaire vierge et renseigné</t>
        </is>
      </c>
    </row>
    <row r="21" ht="33.95" customHeight="1" s="63">
      <c r="A21" s="18" t="n">
        <v>14</v>
      </c>
      <c r="B21" s="34" t="inlineStr">
        <is>
          <t>Indicateurs définis (Indicateurs_Risques)</t>
        </is>
      </c>
      <c r="C21" s="23">
        <f>COUNTA(Indicateurs_Risques!B10:B17)</f>
        <v/>
      </c>
      <c r="D21" s="23">
        <f>IF(C21&gt;=1,"OK","À traiter")</f>
        <v/>
      </c>
      <c r="E21" s="35" t="inlineStr">
        <is>
          <t>Définir au moins un indicateur de performance</t>
        </is>
      </c>
    </row>
    <row r="22" ht="18.95" customFormat="1" customHeight="1" s="32">
      <c r="B22" s="36" t="inlineStr">
        <is>
          <t>Fiche prête pour la rédaction Qualigramme ?</t>
        </is>
      </c>
      <c r="C22" s="50">
        <f>IF(COUNTIF(D8:D21,"À traiter")=0,"OUI","NON — "&amp;COUNTIF(D8:D21,"À traiter")&amp;" point(s) à traiter")</f>
        <v/>
      </c>
      <c r="D22" s="41" t="n"/>
      <c r="E22" s="37" t="n"/>
    </row>
    <row r="23"/>
    <row r="24" ht="18.95" customHeight="1" s="63">
      <c r="A24" s="42" t="inlineStr">
        <is>
          <t>B. POINTS OUVERTS / INFORMATIONS À OBTENIR</t>
        </is>
      </c>
      <c r="B24" s="43" t="n"/>
      <c r="C24" s="43" t="n"/>
      <c r="D24" s="43" t="n"/>
      <c r="E24" s="41" t="n"/>
    </row>
    <row r="25" ht="18.95" customHeight="1" s="63">
      <c r="A25" s="8" t="inlineStr">
        <is>
          <t>N°</t>
        </is>
      </c>
      <c r="B25" s="8" t="inlineStr">
        <is>
          <t>Point à clarifier / information manquante</t>
        </is>
      </c>
      <c r="C25" s="8" t="inlineStr">
        <is>
          <t>Op. n°</t>
        </is>
      </c>
      <c r="D25" s="8" t="inlineStr">
        <is>
          <t>Échéance</t>
        </is>
      </c>
      <c r="E25" s="8" t="inlineStr">
        <is>
          <t>Personne ressource — Statut</t>
        </is>
      </c>
    </row>
    <row r="26" ht="33.95" customHeight="1" s="63">
      <c r="A26" s="18" t="n">
        <v>1</v>
      </c>
      <c r="B26" s="38" t="inlineStr">
        <is>
          <t>Ordre des signatures : autre partie avant ou après la DG</t>
        </is>
      </c>
      <c r="C26" s="38" t="inlineStr">
        <is>
          <t>5,6</t>
        </is>
      </c>
      <c r="D26" s="39" t="inlineStr">
        <is>
          <t>À confirmer</t>
        </is>
      </c>
      <c r="E26" s="38" t="inlineStr">
        <is>
          <t>DAJ - Ouvert</t>
        </is>
      </c>
    </row>
    <row r="27" ht="18.95" customHeight="1" s="63">
      <c r="A27" s="18" t="n">
        <v>2</v>
      </c>
      <c r="B27" s="38" t="inlineStr">
        <is>
          <t>Obtenir le fichier de suivi des contrats actuel → EN-JUR-04.</t>
        </is>
      </c>
      <c r="C27" s="38" t="inlineStr">
        <is>
          <t>7,8</t>
        </is>
      </c>
      <c r="D27" s="39" t="inlineStr">
        <is>
          <t>Collecté</t>
        </is>
      </c>
      <c r="E27" s="38" t="inlineStr">
        <is>
          <t>DAJ - Clos</t>
        </is>
      </c>
    </row>
    <row r="28" ht="18.95" customHeight="1" s="63">
      <c r="A28" s="18" t="n">
        <v>3</v>
      </c>
      <c r="B28" s="38" t="inlineStr">
        <is>
          <t>Qui assure le dépôt des contrats en ville</t>
        </is>
      </c>
      <c r="C28" s="38" t="inlineStr">
        <is>
          <t>6</t>
        </is>
      </c>
      <c r="D28" s="39" t="inlineStr">
        <is>
          <t>À confirmer</t>
        </is>
      </c>
      <c r="E28" s="38" t="inlineStr">
        <is>
          <t>DAJ - Ouvert</t>
        </is>
      </c>
    </row>
    <row r="29" ht="18.95" customHeight="1" s="63">
      <c r="A29" s="18" t="n">
        <v>4</v>
      </c>
      <c r="B29" s="38" t="inlineStr">
        <is>
          <t>Les baux sont traités à part (PR-JUR-04)</t>
        </is>
      </c>
      <c r="C29" s="38" t="inlineStr">
        <is>
          <t>-</t>
        </is>
      </c>
      <c r="D29" s="39" t="inlineStr">
        <is>
          <t>Info</t>
        </is>
      </c>
      <c r="E29" s="38" t="inlineStr">
        <is>
          <t>Consultant - Clos</t>
        </is>
      </c>
    </row>
    <row r="30" ht="33.95" customHeight="1" s="63">
      <c r="A30" s="18" t="n">
        <v>5</v>
      </c>
      <c r="B30" s="38" t="inlineStr">
        <is>
          <t>Date de l'entretien (planning : 06/10/2026, Contrats) et présents</t>
        </is>
      </c>
      <c r="C30" s="38" t="inlineStr">
        <is>
          <t>-</t>
        </is>
      </c>
      <c r="D30" s="39" t="inlineStr">
        <is>
          <t>Daté (cf. Cadrage)</t>
        </is>
      </c>
      <c r="E30" s="38" t="inlineStr">
        <is>
          <t>Consultant - Clos</t>
        </is>
      </c>
    </row>
    <row r="31" ht="18.95" customHeight="1" s="63">
      <c r="A31" s="18" t="n">
        <v>6</v>
      </c>
      <c r="B31" s="38" t="n"/>
      <c r="C31" s="38" t="n"/>
      <c r="D31" s="39" t="n"/>
      <c r="E31" s="38" t="n"/>
    </row>
    <row r="32" ht="18.95" customHeight="1" s="63">
      <c r="A32" s="18" t="n">
        <v>7</v>
      </c>
      <c r="B32" s="38" t="n"/>
      <c r="C32" s="38" t="n"/>
      <c r="D32" s="39" t="n"/>
      <c r="E32" s="38" t="n"/>
    </row>
    <row r="33" ht="18.95" customHeight="1" s="63">
      <c r="A33" s="18" t="n">
        <v>8</v>
      </c>
      <c r="B33" s="38" t="n"/>
      <c r="C33" s="38" t="n"/>
      <c r="D33" s="39" t="n"/>
      <c r="E33" s="38" t="n"/>
    </row>
    <row r="34" ht="18.95" customHeight="1" s="63">
      <c r="A34" s="18" t="n">
        <v>9</v>
      </c>
      <c r="B34" s="38" t="n"/>
      <c r="C34" s="38" t="n"/>
      <c r="D34" s="39" t="n"/>
      <c r="E34" s="38" t="n"/>
    </row>
    <row r="35" ht="18.95" customHeight="1" s="63">
      <c r="A35" s="18" t="n">
        <v>10</v>
      </c>
      <c r="B35" s="38" t="n"/>
      <c r="C35" s="38" t="n"/>
      <c r="D35" s="39" t="n"/>
      <c r="E35" s="38" t="n"/>
    </row>
    <row r="36"/>
    <row r="37" ht="18.95" customHeight="1" s="63">
      <c r="A37" s="42" t="inlineStr">
        <is>
          <t>C. VALIDATION DES INFORMATIONS COLLECTÉES</t>
        </is>
      </c>
      <c r="B37" s="43" t="n"/>
      <c r="C37" s="43" t="n"/>
      <c r="D37" s="43" t="n"/>
      <c r="E37" s="41" t="n"/>
    </row>
    <row r="38" ht="18.95" customHeight="1" s="63">
      <c r="A38" s="8" t="n"/>
      <c r="B38" s="8" t="inlineStr">
        <is>
          <t>Nom et fonction</t>
        </is>
      </c>
      <c r="C38" s="8" t="inlineStr">
        <is>
          <t>Date</t>
        </is>
      </c>
      <c r="D38" s="8" t="inlineStr">
        <is>
          <t>Visa / signature</t>
        </is>
      </c>
      <c r="E38" s="8" t="inlineStr">
        <is>
          <t>Observations</t>
        </is>
      </c>
    </row>
    <row r="39" ht="18.95" customHeight="1" s="63">
      <c r="A39" s="12" t="n"/>
      <c r="B39" s="24" t="inlineStr">
        <is>
          <t>Interviewé 1 : Jean Exemple - DAJ</t>
        </is>
      </c>
      <c r="C39" s="62" t="n"/>
      <c r="D39" s="60" t="n"/>
      <c r="E39" s="60" t="n"/>
    </row>
    <row r="40" ht="18.95" customHeight="1" s="63">
      <c r="A40" s="12" t="n"/>
      <c r="B40" s="24" t="inlineStr">
        <is>
          <t>Pilote du processus : Jean Exemple - DAJ</t>
        </is>
      </c>
      <c r="C40" s="62" t="n"/>
      <c r="D40" s="60" t="n"/>
      <c r="E40" s="60" t="n"/>
    </row>
    <row r="41" ht="33.95" customHeight="1" s="63">
      <c r="A41" s="12" t="n"/>
      <c r="B41" s="24" t="inlineStr">
        <is>
          <t>Consultant / enquêteur : Consultant Exemple (Cabinet Exemple)</t>
        </is>
      </c>
      <c r="C41" s="62" t="n"/>
      <c r="D41" s="60" t="n"/>
      <c r="E41" s="60" t="n"/>
    </row>
  </sheetData>
  <mergeCells count="10">
    <mergeCell ref="D2:E2"/>
    <mergeCell ref="A24:E24"/>
    <mergeCell ref="D1:E1"/>
    <mergeCell ref="A1:B4"/>
    <mergeCell ref="A37:E37"/>
    <mergeCell ref="C22:D22"/>
    <mergeCell ref="D4:E4"/>
    <mergeCell ref="C1:C4"/>
    <mergeCell ref="A6:E6"/>
    <mergeCell ref="D3:E3"/>
  </mergeCells>
  <conditionalFormatting sqref="D8:D21">
    <cfRule type="cellIs" priority="2" operator="equal" dxfId="1">
      <formula>"OK"</formula>
    </cfRule>
    <cfRule type="cellIs" priority="3" operator="equal" dxfId="0">
      <formula>"À traiter"</formula>
    </cfRule>
  </conditionalFormatting>
  <pageMargins left="0.4" right="0.4" top="0.5" bottom="0.5" header="0.511811023622047" footer="0.5"/>
  <pageSetup orientation="portrait" paperSize="9" fitToHeight="0" horizontalDpi="300" verticalDpi="300"/>
  <headerFooter>
    <oddHeader/>
    <oddFooter>&amp;LISOPEX C&amp;P — Fiche de collecte Qualigramme&amp;RPage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2026-09-23T12:24:07Z</dcterms:created>
  <dcterms:modified xmlns:dcterms="http://purl.org/dc/terms/" xmlns:xsi="http://www.w3.org/2001/XMLSchema-instance" xsi:type="dcterms:W3CDTF">2026-10-28T07:14:19Z</dcterms:modified>
  <cp:lastModifiedBy>Brice OSSONGOMBIA</cp:lastModifiedBy>
  <cp:revision>0</cp:revision>
  <cp:lastPrinted>2026-09-23T13:02:14Z</cp:lastPrinted>
</cp:coreProperties>
</file>